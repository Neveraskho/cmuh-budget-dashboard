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113" documentId="13_ncr:1_{182D9DB2-ED36-4605-9D4B-D74488644F2E}" xr6:coauthVersionLast="47" xr6:coauthVersionMax="47" xr10:uidLastSave="{63DE48C5-7CC0-4A7B-BDD8-AB7A4F401499}"/>
  <bookViews>
    <workbookView xWindow="-2314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0" i="10" l="1"/>
  <c r="E89" i="10"/>
  <c r="E88" i="10"/>
  <c r="E87" i="10"/>
  <c r="E86" i="10"/>
  <c r="E85" i="10"/>
  <c r="F6" i="7"/>
  <c r="F5" i="7"/>
  <c r="F7" i="6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<sst xmlns="http://schemas.openxmlformats.org/spreadsheetml/2006/main" count="549" uniqueCount="284">
  <si>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</si>
  <si>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</si>
  <si>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</si>
  <si>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</si>
  <si>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</si>
  <si>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</si>
  <si>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</si>
  <si>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</si>
  <si>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</si>
  <si>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</si>
  <si>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</si>
  <si>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</si>
  <si>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</si>
  <si>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</si>
  <si>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</si>
  <si>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</si>
  <si>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</si>
  <si>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</si>
  <si>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</si>
  <si>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</si>
  <si>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</si>
  <si>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</si>
  <si>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</si>
  <si>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</si>
  <si>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</si>
  <si>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</si>
  <si>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</si>
  <si>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</si>
  <si>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</si>
  <si>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</si>
  <si>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</si>
  <si>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</si>
  <si>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</si>
  <si>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</si>
  <si>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</si>
  <si>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</si>
  <si>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</si>
  <si>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</si>
  <si>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</si>
  <si>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</si>
  <si>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</si>
  <si>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</si>
  <si>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</si>
  <si>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</si>
  <si>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</si>
  <si>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</si>
  <si>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</si>
  <si>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</si>
  <si>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</si>
  <si>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</si>
  <si>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</si>
  <si>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</si>
  <si>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</si>
  <si>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</si>
  <si>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</si>
  <si>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</si>
  <si>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</si>
  <si>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</si>
  <si>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</si>
  <si>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</si>
  <si>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</si>
  <si>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</si>
  <si>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</si>
  <si>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</si>
  <si>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</si>
  <si>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</si>
  <si>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</si>
  <si>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</si>
  <si>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</si>
  <si>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</si>
  <si>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</si>
  <si>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</si>
  <si>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</si>
  <si>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</si>
  <si>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</si>
  <si>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</si>
  <si>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</si>
  <si>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</si>
  <si>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</si>
  <si>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</si>
  <si>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</si>
  <si>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</si>
  <si>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</si>
  <si>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</si>
  <si>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</si>
  <si>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</si>
  <si>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</si>
  <si>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</si>
  <si>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</si>
  <si>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</si>
  <si>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</si>
  <si>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</si>
  <si>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</si>
  <si>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</si>
  <si>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</si>
  <si>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</si>
  <si>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</si>
  <si>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</si>
  <si>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</si>
  <si>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</si>
  <si>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</si>
  <si>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</si>
  <si>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</si>
  <si>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</si>
  <si>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</si>
  <si>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</si>
  <si>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</si>
  <si>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</si>
  <si>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</si>
  <si>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</si>
  <si>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</si>
  <si>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</si>
  <si>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</si>
  <si>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</si>
  <si>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</si>
  <si>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</si>
  <si>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</si>
  <si>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</si>
  <si>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</si>
  <si>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</si>
  <si>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</si>
  <si>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</si>
  <si>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</si>
  <si>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</si>
  <si>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</si>
  <si>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</si>
  <si>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</si>
  <si>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</si>
  <si>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</si>
  <si>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</si>
  <si>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</si>
  <si>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</si>
  <si>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</si>
  <si>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</si>
  <si>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</si>
  <si>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</si>
  <si>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</si>
  <si>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</si>
  <si>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</si>
  <si>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</si>
  <si>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</si>
  <si>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</si>
  <si>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</si>
  <si>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</si>
  <si>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</si>
  <si>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</si>
  <si>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</si>
  <si>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</si>
  <si>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</si>
  <si>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</si>
  <si>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</si>
  <si>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</si>
  <si>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</si>
  <si>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</si>
  <si>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</si>
  <si>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</si>
  <si>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</si>
  <si>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</si>
  <si>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</si>
  <si>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</si>
  <si>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</si>
  <si>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</si>
  <si>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</si>
  <si>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</si>
  <si>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</si>
  <si>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</si>
  <si>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</si>
  <si>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</si>
  <si>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</si>
  <si>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</si>
  <si>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</si>
  <si>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</si>
  <si>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</si>
  <si>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</si>
  <si>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</si>
  <si>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</si>
  <si>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</si>
  <si>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</si>
  <si>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</si>
  <si>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</si>
  <si>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</si>
  <si>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</si>
  <si>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</si>
  <si>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</si>
  <si>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</si>
  <si>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</si>
  <si>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</si>
  <si>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</si>
  <si>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</si>
  <si>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</si>
  <si>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</si>
  <si>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</si>
  <si>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</si>
  <si>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</si>
  <si>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</si>
  <si>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</si>
  <si>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</si>
  <si>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</si>
  <si>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</si>
  <si>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</si>
  <si>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</si>
  <si>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</si>
  <si>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</si>
  <si>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</si>
  <si>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</si>
  <si>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</si>
  <si>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</si>
  <si>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</si>
  <si>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</si>
  <si>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</si>
  <si>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</si>
  <si>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</si>
  <si>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</si>
  <si>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</si>
  <si>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</si>
  <si>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</si>
  <si>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</si>
  <si>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</si>
  <si>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</si>
  <si>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</si>
  <si>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</si>
  <si>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</si>
  <si>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</si>
  <si>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</si>
  <si>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</si>
  <si>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</si>
  <si>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</si>
  <si>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</si>
  <si>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</si>
  <si>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</si>
  <si>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</si>
  <si>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</si>
  <si>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</si>
  <si>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</si>
  <si>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</si>
  <si>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</si>
  <si>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</si>
  <si>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</si>
  <si>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</si>
  <si>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</si>
  <si>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</si>
  <si>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</si>
  <si>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</si>
  <si>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</si>
  <si>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</si>
  <si>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</si>
  <si>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</si>
  <si>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</si>
  <si>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</si>
  <si>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</si>
  <si>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</si>
  <si>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</si>
  <si>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</si>
  <si>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</si>
  <si>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</si>
  <si>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</si>
  <si>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</si>
  <si>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</si>
  <si>
    <t>還資材蔡宛臻</t>
    <phoneticPr fontId="2" type="noConversion"/>
  </si>
  <si>
    <t>餐費</t>
    <phoneticPr fontId="2" type="noConversion"/>
  </si>
  <si>
    <t>ERP系統會議</t>
    <phoneticPr fontId="2" type="noConversion"/>
  </si>
  <si>
    <t>導入數位病理系統會議</t>
    <phoneticPr fontId="2" type="noConversion"/>
  </si>
  <si>
    <t>AE1151003589</t>
    <phoneticPr fontId="2" type="noConversion"/>
  </si>
  <si>
    <t>115/10/29</t>
    <phoneticPr fontId="2" type="noConversion"/>
  </si>
  <si>
    <t>AE1151003595</t>
    <phoneticPr fontId="2" type="noConversion"/>
  </si>
  <si>
    <t>資材室餐費</t>
    <phoneticPr fontId="2" type="noConversion"/>
  </si>
  <si>
    <t>蔡宛臻</t>
    <phoneticPr fontId="2" type="noConversion"/>
  </si>
  <si>
    <t>病理部餐費</t>
    <phoneticPr fontId="2" type="noConversion"/>
  </si>
  <si>
    <t>蔡佳蓉</t>
    <phoneticPr fontId="2" type="noConversion"/>
  </si>
  <si>
    <t>FP73185466</t>
    <phoneticPr fontId="2" type="noConversion"/>
  </si>
  <si>
    <t>9月租金-手術智慧排程與管理系統</t>
    <phoneticPr fontId="2" type="noConversion"/>
  </si>
  <si>
    <t>AE1151004460</t>
    <phoneticPr fontId="2" type="noConversion"/>
  </si>
  <si>
    <t>10月租金-手術智慧排程與管理系統</t>
    <phoneticPr fontId="2" type="noConversion"/>
  </si>
  <si>
    <t>FP73185491</t>
    <phoneticPr fontId="2" type="noConversion"/>
  </si>
  <si>
    <t>AE1151004487</t>
    <phoneticPr fontId="2" type="noConversion"/>
  </si>
  <si>
    <t>職安室餐費</t>
    <phoneticPr fontId="2" type="noConversion"/>
  </si>
  <si>
    <t>林佳瑩</t>
    <phoneticPr fontId="2" type="noConversion"/>
  </si>
  <si>
    <t>職安室項目討論</t>
    <phoneticPr fontId="2" type="noConversion"/>
  </si>
  <si>
    <t>AE1151004606</t>
  </si>
  <si>
    <t>AE1151004599</t>
  </si>
  <si>
    <t>AE1151004601</t>
  </si>
  <si>
    <t>AE1151004602</t>
  </si>
  <si>
    <t>AE1151004603</t>
  </si>
  <si>
    <t>115/10/30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</si>
</sst>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0" fillId="0" borderId="1" xfId="0" applyNumberFormat="1" applyBorder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5" sqref="D15"/>
    </sheetView>
  </sheetViews>
  <sheetFormatPr defaultRowHeight="16.2"/>
  <cols>
    <col min="1" max="1" width="15.33203125" bestFit="1" customWidth="1"/>
    <col min="2" max="2" width="13.33203125" bestFit="1" customWidth="1"/>
    <col min="3" max="3" width="49.2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8" t="s">
        <v>141</v>
      </c>
      <c r="B1" s="78"/>
      <c r="C1" s="78"/>
      <c r="D1" s="78"/>
      <c r="E1" s="78"/>
      <c r="F1" s="78"/>
      <c r="G1" s="78"/>
      <c r="H1" s="78"/>
      <c r="I1" s="78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43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43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43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43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43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9" t="s">
        <v>168</v>
      </c>
      <c r="B9" s="80"/>
      <c r="C9" s="80"/>
      <c r="D9" s="80"/>
      <c r="E9" s="81"/>
      <c r="F9" s="42">
        <f>SUM(F3:F8)</f>
        <v>4158000</v>
      </c>
      <c r="G9" s="79"/>
      <c r="H9" s="80"/>
      <c r="I9" s="81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B2" sqref="B2:F2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7" t="s">
        <v>5</v>
      </c>
      <c r="B2" s="8" t="s">
        <v>6</v>
      </c>
      <c r="C2" s="28">
        <v>130000</v>
      </c>
      <c r="D2" s="10">
        <f>SUMIF('明細表 '!B:B, B2, '明細表 '!D:D)</f>
        <v>76668</v>
      </c>
      <c r="E2" s="28">
        <f>C2-D2</f>
        <v>53332</v>
      </c>
      <c r="F2" s="11">
        <f>D2/C2</f>
        <v>0.58975384615384618</v>
      </c>
    </row>
    <row r="3" spans="1:7" ht="19.95" customHeight="1">
      <c r="A3" s="88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8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8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8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96499</v>
      </c>
    </row>
    <row r="7" spans="1:7" ht="19.95" customHeight="1">
      <c r="A7" s="89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2" t="s">
        <v>10</v>
      </c>
      <c r="B8" s="83"/>
      <c r="C8" s="9">
        <f>SUM(C2:C7)</f>
        <v>261200</v>
      </c>
      <c r="D8" s="9">
        <f>SUM(D2:D7)</f>
        <v>174215</v>
      </c>
      <c r="E8" s="28">
        <f>C8-D8</f>
        <v>86985</v>
      </c>
      <c r="F8" s="11">
        <f t="shared" si="1"/>
        <v>0.66697932618682998</v>
      </c>
    </row>
    <row r="9" spans="1:7" ht="23.4" customHeight="1">
      <c r="A9" s="90" t="s">
        <v>228</v>
      </c>
      <c r="B9" s="90"/>
      <c r="C9" s="71" t="s">
        <v>227</v>
      </c>
      <c r="D9" s="71" t="s">
        <v>226</v>
      </c>
      <c r="E9" s="72" t="s">
        <v>225</v>
      </c>
      <c r="F9" s="11"/>
    </row>
    <row r="10" spans="1:7" ht="23.4">
      <c r="A10" s="90"/>
      <c r="B10" s="90"/>
      <c r="C10" s="9">
        <f>SUMIF('明細表 '!B:B, "待沖帳", '明細表 '!D:D)</f>
        <v>51128</v>
      </c>
      <c r="D10" s="9">
        <f>SUM('明細表 '!E:E)</f>
        <v>51388</v>
      </c>
      <c r="E10" s="28">
        <f>(C10-D10)</f>
        <v>-260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4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5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5"/>
      <c r="B14" s="6"/>
      <c r="C14" s="9" t="s">
        <v>41</v>
      </c>
      <c r="D14" s="9">
        <v>65000</v>
      </c>
      <c r="E14" s="9">
        <f>E2+E5</f>
        <v>53501</v>
      </c>
      <c r="F14" s="23">
        <f>D14-E14</f>
        <v>11499</v>
      </c>
      <c r="G14" s="22"/>
    </row>
    <row r="15" spans="1:7" ht="46.8">
      <c r="A15" s="85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6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96499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77" activePane="bottomLeft" state="frozen"/>
      <selection pane="bottomLeft" activeCell="C86" sqref="C86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1" t="s">
        <v>117</v>
      </c>
      <c r="K45" s="92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1"/>
      <c r="K46" s="92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>
        <v>46315</v>
      </c>
      <c r="B79" s="56" t="s">
        <v>209</v>
      </c>
      <c r="C79" s="15" t="s">
        <v>258</v>
      </c>
      <c r="D79" s="2"/>
      <c r="E79" s="2"/>
      <c r="F79" s="2">
        <v>1772</v>
      </c>
      <c r="G79" s="2"/>
      <c r="H79" s="15"/>
      <c r="I79" s="15"/>
      <c r="J79" s="15"/>
      <c r="K79" s="15"/>
    </row>
    <row r="80" spans="1:11">
      <c r="A80" s="6">
        <v>46316</v>
      </c>
      <c r="B80" s="3" t="s">
        <v>259</v>
      </c>
      <c r="C80" s="15" t="s">
        <v>260</v>
      </c>
      <c r="D80" s="2"/>
      <c r="E80" s="2"/>
      <c r="F80" s="2">
        <v>2100</v>
      </c>
      <c r="G80" s="2"/>
      <c r="H80" s="15"/>
      <c r="I80" s="15"/>
      <c r="J80" s="15" t="s">
        <v>263</v>
      </c>
      <c r="K80" s="15" t="s">
        <v>264</v>
      </c>
    </row>
    <row r="81" spans="1:11">
      <c r="A81" s="6">
        <v>46315</v>
      </c>
      <c r="B81" s="3" t="s">
        <v>259</v>
      </c>
      <c r="C81" s="15" t="s">
        <v>261</v>
      </c>
      <c r="D81" s="2">
        <v>4480</v>
      </c>
      <c r="E81" s="2">
        <v>480</v>
      </c>
      <c r="F81" s="2">
        <v>4000</v>
      </c>
      <c r="G81" s="2"/>
      <c r="H81" s="15"/>
      <c r="I81" s="15"/>
      <c r="J81" s="15" t="s">
        <v>263</v>
      </c>
      <c r="K81" s="15" t="s">
        <v>262</v>
      </c>
    </row>
    <row r="82" spans="1:11">
      <c r="A82" s="6">
        <v>46323</v>
      </c>
      <c r="B82" s="56" t="s">
        <v>209</v>
      </c>
      <c r="C82" s="15" t="s">
        <v>265</v>
      </c>
      <c r="D82" s="2"/>
      <c r="E82" s="2"/>
      <c r="F82" s="2">
        <v>2100</v>
      </c>
      <c r="G82" s="2" t="s">
        <v>266</v>
      </c>
      <c r="H82" s="15"/>
      <c r="I82" s="15"/>
      <c r="J82" s="15"/>
      <c r="K82" s="15"/>
    </row>
    <row r="83" spans="1:11">
      <c r="A83" s="6">
        <v>46324</v>
      </c>
      <c r="B83" s="56" t="s">
        <v>209</v>
      </c>
      <c r="C83" s="15" t="s">
        <v>267</v>
      </c>
      <c r="D83" s="2"/>
      <c r="E83" s="2"/>
      <c r="F83" s="2">
        <v>4000</v>
      </c>
      <c r="G83" s="2" t="s">
        <v>268</v>
      </c>
      <c r="H83" s="15"/>
      <c r="I83" s="15"/>
      <c r="J83" s="15"/>
      <c r="K83" s="15"/>
    </row>
    <row r="84" spans="1:11">
      <c r="A84" s="6">
        <v>46325</v>
      </c>
      <c r="B84" s="56" t="s">
        <v>209</v>
      </c>
      <c r="C84" s="15" t="s">
        <v>275</v>
      </c>
      <c r="D84" s="2"/>
      <c r="E84" s="2"/>
      <c r="F84" s="2">
        <v>8000</v>
      </c>
      <c r="G84" s="2" t="s">
        <v>276</v>
      </c>
      <c r="H84" s="15"/>
      <c r="I84" s="15"/>
      <c r="J84" s="15"/>
      <c r="K84" s="15"/>
    </row>
    <row r="85" spans="1:11">
      <c r="A85" s="6">
        <v>46296</v>
      </c>
      <c r="B85" s="3" t="s">
        <v>259</v>
      </c>
      <c r="C85" s="15" t="s">
        <v>277</v>
      </c>
      <c r="D85" s="2">
        <v>1680</v>
      </c>
      <c r="E85" s="2">
        <f>D85-F85</f>
        <v>0</v>
      </c>
      <c r="F85" s="2">
        <v>1680</v>
      </c>
      <c r="G85" s="2"/>
      <c r="H85" s="15"/>
      <c r="I85" s="15"/>
      <c r="J85" s="15" t="s">
        <v>283</v>
      </c>
      <c r="K85" s="15" t="s">
        <v>278</v>
      </c>
    </row>
    <row r="86" spans="1:11">
      <c r="A86" s="6">
        <v>46302</v>
      </c>
      <c r="B86" s="3" t="s">
        <v>259</v>
      </c>
      <c r="C86" s="15" t="s">
        <v>277</v>
      </c>
      <c r="D86" s="2">
        <v>1290</v>
      </c>
      <c r="E86" s="2">
        <f>D86-F86</f>
        <v>0</v>
      </c>
      <c r="F86" s="2">
        <v>1290</v>
      </c>
      <c r="G86" s="2"/>
      <c r="H86" s="15"/>
      <c r="I86" s="15"/>
      <c r="J86" s="15" t="s">
        <v>283</v>
      </c>
      <c r="K86" s="15" t="s">
        <v>279</v>
      </c>
    </row>
    <row r="87" spans="1:11">
      <c r="A87" s="6">
        <v>46308</v>
      </c>
      <c r="B87" s="3" t="s">
        <v>259</v>
      </c>
      <c r="C87" s="15" t="s">
        <v>277</v>
      </c>
      <c r="D87" s="2">
        <v>1540</v>
      </c>
      <c r="E87" s="2">
        <f>D87-F87</f>
        <v>550</v>
      </c>
      <c r="F87" s="2">
        <v>990</v>
      </c>
      <c r="G87" s="2"/>
      <c r="H87" s="15"/>
      <c r="I87" s="15"/>
      <c r="J87" s="15" t="s">
        <v>283</v>
      </c>
      <c r="K87" s="15" t="s">
        <v>280</v>
      </c>
    </row>
    <row r="88" spans="1:11">
      <c r="A88" s="6">
        <v>46309</v>
      </c>
      <c r="B88" s="3" t="s">
        <v>259</v>
      </c>
      <c r="C88" s="15" t="s">
        <v>277</v>
      </c>
      <c r="D88" s="2">
        <v>1540</v>
      </c>
      <c r="E88" s="2">
        <f>D88-F88</f>
        <v>520</v>
      </c>
      <c r="F88" s="2">
        <v>1020</v>
      </c>
      <c r="G88" s="2"/>
      <c r="H88" s="15"/>
      <c r="I88" s="15"/>
      <c r="J88" s="15" t="s">
        <v>283</v>
      </c>
      <c r="K88" s="15" t="s">
        <v>281</v>
      </c>
    </row>
    <row r="89" spans="1:11">
      <c r="A89" s="6">
        <v>46316</v>
      </c>
      <c r="B89" s="3" t="s">
        <v>259</v>
      </c>
      <c r="C89" s="15" t="s">
        <v>277</v>
      </c>
      <c r="D89" s="2">
        <v>1620</v>
      </c>
      <c r="E89" s="2">
        <f>D89-F89</f>
        <v>0</v>
      </c>
      <c r="F89" s="2">
        <v>1620</v>
      </c>
      <c r="G89" s="2"/>
      <c r="H89" s="15"/>
      <c r="I89" s="15"/>
      <c r="J89" s="15" t="s">
        <v>283</v>
      </c>
      <c r="K89" s="15" t="s">
        <v>282</v>
      </c>
    </row>
    <row r="90" spans="1:11">
      <c r="A90" s="6">
        <v>46322</v>
      </c>
      <c r="B90" s="3" t="s">
        <v>259</v>
      </c>
      <c r="C90" s="15" t="s">
        <v>277</v>
      </c>
      <c r="D90" s="2">
        <v>1680</v>
      </c>
      <c r="E90" s="2">
        <f>D90-F90</f>
        <v>230</v>
      </c>
      <c r="F90" s="2">
        <v>1450</v>
      </c>
      <c r="G90" s="2"/>
      <c r="H90" s="15"/>
      <c r="I90" s="15"/>
      <c r="J90" s="15" t="s">
        <v>283</v>
      </c>
      <c r="K90" s="15" t="s">
        <v>278</v>
      </c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C12" sqref="C12"/>
    </sheetView>
  </sheetViews>
  <sheetFormatPr defaultRowHeight="16.2"/>
  <cols>
    <col min="1" max="1" width="10.66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8" t="s">
        <v>165</v>
      </c>
      <c r="B1" s="78"/>
      <c r="C1" s="78"/>
      <c r="D1" s="78"/>
      <c r="E1" s="78"/>
      <c r="F1" s="78"/>
      <c r="G1" s="78"/>
      <c r="H1" s="78"/>
      <c r="I1" s="78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>
        <v>46286</v>
      </c>
      <c r="B5" s="15" t="s">
        <v>269</v>
      </c>
      <c r="C5" s="43" t="s">
        <v>270</v>
      </c>
      <c r="D5" s="37">
        <v>1</v>
      </c>
      <c r="E5" s="40">
        <v>349167</v>
      </c>
      <c r="F5" s="38">
        <f>E5*D5</f>
        <v>349167</v>
      </c>
      <c r="G5" s="37" t="s">
        <v>263</v>
      </c>
      <c r="H5" s="41" t="s">
        <v>271</v>
      </c>
      <c r="I5" s="15"/>
    </row>
    <row r="6" spans="1:9">
      <c r="A6" s="77">
        <v>46315</v>
      </c>
      <c r="B6" s="15" t="s">
        <v>273</v>
      </c>
      <c r="C6" s="43" t="s">
        <v>272</v>
      </c>
      <c r="D6" s="37">
        <v>1</v>
      </c>
      <c r="E6" s="40">
        <v>349167</v>
      </c>
      <c r="F6" s="38">
        <f>E6*D6</f>
        <v>349167</v>
      </c>
      <c r="G6" s="37" t="s">
        <v>263</v>
      </c>
      <c r="H6" s="15" t="s">
        <v>274</v>
      </c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9" t="s">
        <v>168</v>
      </c>
      <c r="B8" s="80"/>
      <c r="C8" s="80"/>
      <c r="D8" s="80"/>
      <c r="E8" s="81"/>
      <c r="F8" s="42">
        <f>SUM(F3:F7)</f>
        <v>1070028</v>
      </c>
      <c r="G8" s="79"/>
      <c r="H8" s="80"/>
      <c r="I8" s="81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8" t="s">
        <v>240</v>
      </c>
      <c r="B1" s="78"/>
      <c r="C1" s="78"/>
      <c r="D1" s="78"/>
      <c r="E1" s="78"/>
      <c r="F1" s="78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9" t="s">
        <v>168</v>
      </c>
      <c r="B11" s="80"/>
      <c r="C11" s="42">
        <f>SUM(C3:C10)</f>
        <v>258443</v>
      </c>
      <c r="D11" s="79"/>
      <c r="E11" s="80"/>
      <c r="F11" s="81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3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3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2026-10-30T06:38:50Z</dcterms:modified>
</cp:coreProperties>
</file>