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1115" documentId="13_ncr:1_{182D9DB2-ED36-4605-9D4B-D74488644F2E}" xr6:coauthVersionLast="47" xr6:coauthVersionMax="47" xr10:uidLastSave="{B3D52249-1E1A-402E-B371-A402C9A6CDC1}"/>
  <bookViews>
    <workbookView xWindow="-108" yWindow="-108" windowWidth="23256" windowHeight="12456" activeTab="2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業務費-人事費" sheetId="12" r:id="rId5"/>
    <sheet name="交通費" sheetId="4" r:id="rId6"/>
    <sheet name="參數設定" sheetId="9" r:id="rId7"/>
  </sheets>
  <definedNames>
    <definedName name="_xlnm._FilterDatabase" localSheetId="2" hidden="1">'明細表 '!$A$1:$K$90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0" i="10" l="1"/>
  <c r="E89" i="10"/>
  <c r="E88" i="10"/>
  <c r="E87" i="10"/>
  <c r="E86" i="10"/>
  <c r="E85" i="10"/>
  <c r="F6" i="7"/>
  <c r="F5" i="7"/>
  <c r="F7" i="6"/>
  <c r="C11" i="12" l="1"/>
  <c r="D10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C10" i="1" s="1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D4" i="1"/>
  <c r="H16" i="10"/>
  <c r="E10" i="1" l="1"/>
  <c r="D2" i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<sst xmlns="http://schemas.openxmlformats.org/spreadsheetml/2006/main" count="549" uniqueCount="284">
  <si>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</si>
  <si>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</si>
  <si>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</si>
  <si>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</si>
  <si>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</si>
  <si>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</si>
  <si>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</si>
  <si>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</si>
  <si>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</si>
  <si>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</si>
  <si>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</si>
  <si>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</si>
  <si>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</si>
  <si>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</si>
  <si>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</si>
  <si>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</si>
  <si>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</si>
  <si>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</si>
  <si>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</si>
  <si>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</si>
  <si>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</si>
  <si>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</si>
  <si>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</si>
  <si>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</si>
  <si>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</si>
  <si>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</si>
  <si>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</si>
  <si>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</si>
  <si>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</si>
  <si>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</si>
  <si>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</si>
  <si>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</si>
  <si>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</si>
  <si>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</si>
  <si>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</si>
  <si>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</si>
  <si>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</si>
  <si>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</si>
  <si>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</si>
  <si>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</si>
  <si>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</si>
  <si>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</si>
  <si>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</si>
  <si>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</si>
  <si>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</si>
  <si>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</si>
  <si>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</si>
  <si>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</si>
  <si>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</si>
  <si>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</si>
  <si>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</si>
  <si>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</si>
  <si>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</si>
  <si>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</si>
  <si>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</si>
  <si>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</si>
  <si>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</si>
  <si>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</si>
  <si>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</si>
  <si>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</si>
  <si>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</si>
  <si>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</si>
  <si>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</si>
  <si>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</si>
  <si>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</si>
  <si>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</si>
  <si>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</si>
  <si>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</si>
  <si>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</si>
  <si>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</si>
  <si>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</si>
  <si>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</si>
  <si>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</si>
  <si>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</si>
  <si>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</si>
  <si>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</si>
  <si>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</si>
  <si>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</si>
  <si>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</si>
  <si>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</si>
  <si>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</si>
  <si>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</si>
  <si>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</si>
  <si>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</si>
  <si>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</si>
  <si>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</si>
  <si>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</si>
  <si>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</si>
  <si>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</si>
  <si>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</si>
  <si>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</si>
  <si>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</si>
  <si>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</si>
  <si>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</si>
  <si>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</si>
  <si>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</si>
  <si>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</si>
  <si>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</si>
  <si>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</si>
  <si>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</si>
  <si>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</si>
  <si>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</si>
  <si>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</si>
  <si>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</si>
  <si>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</si>
  <si>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</si>
  <si>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</si>
  <si>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</si>
  <si>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</si>
  <si>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</si>
  <si>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</si>
  <si>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</si>
  <si>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</si>
  <si>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</si>
  <si>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</si>
  <si>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</si>
  <si>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</si>
  <si>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</si>
  <si>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</si>
  <si>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</si>
  <si>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</si>
  <si>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</si>
  <si>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</si>
  <si>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</si>
  <si>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</si>
  <si>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</si>
  <si>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</si>
  <si>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</si>
  <si>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</si>
  <si>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</si>
  <si>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</si>
  <si>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</si>
  <si>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</si>
  <si>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</si>
  <si>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</si>
  <si>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</si>
  <si>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</si>
  <si>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</si>
  <si>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</si>
  <si>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</si>
  <si>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</si>
  <si>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</si>
  <si>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</si>
  <si>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</si>
  <si>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</si>
  <si>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</si>
  <si>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</si>
  <si>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</si>
  <si>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</si>
  <si>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</si>
  <si>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</si>
  <si>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</si>
  <si>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</si>
  <si>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</si>
  <si>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</si>
  <si>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</si>
  <si>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</si>
  <si>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</si>
  <si>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</si>
  <si>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</si>
  <si>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</si>
  <si>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</si>
  <si>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</si>
  <si>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</si>
  <si>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</si>
  <si>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</si>
  <si>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</si>
  <si>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</si>
  <si>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</si>
  <si>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</si>
  <si>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</si>
  <si>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</si>
  <si>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</si>
  <si>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</si>
  <si>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</si>
  <si>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</si>
  <si>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</si>
  <si>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</si>
  <si>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</si>
  <si>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</si>
  <si>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</si>
  <si>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</si>
  <si>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</si>
  <si>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</si>
  <si>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</si>
  <si>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</si>
  <si>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</si>
  <si>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</si>
  <si>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</si>
  <si>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</si>
  <si>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</si>
  <si>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</si>
  <si>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</si>
  <si>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</si>
  <si>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</si>
  <si>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</si>
  <si>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</si>
  <si>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</si>
  <si>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</si>
  <si>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</si>
  <si>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</si>
  <si>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</si>
  <si>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</si>
  <si>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</si>
  <si>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</si>
  <si>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</si>
  <si>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</si>
  <si>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</si>
  <si>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</si>
  <si>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</si>
  <si>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</si>
  <si>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</si>
  <si>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</si>
  <si>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</si>
  <si>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</si>
  <si>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</si>
  <si>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</si>
  <si>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</si>
  <si>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</si>
  <si>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</si>
  <si>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</si>
  <si>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</si>
  <si>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</si>
  <si>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</si>
  <si>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</si>
  <si>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</si>
  <si>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</si>
  <si>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</si>
  <si>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</si>
  <si>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</si>
  <si>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</si>
  <si>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</si>
  <si>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</si>
  <si>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</si>
  <si>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</si>
  <si>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</si>
  <si>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</si>
  <si>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</si>
  <si>
    <t>鄭雅靜副主任會議便當費(素食)</t>
    <phoneticPr fontId="2" type="noConversion"/>
  </si>
  <si>
    <t>小組會議便當(石蜜園)</t>
    <phoneticPr fontId="2" type="noConversion"/>
  </si>
  <si>
    <t>業務費-人事費</t>
    <phoneticPr fontId="2" type="noConversion"/>
  </si>
  <si>
    <t>研究助理3月薪資</t>
    <phoneticPr fontId="2" type="noConversion"/>
  </si>
  <si>
    <t>研究助理4月薪資</t>
  </si>
  <si>
    <t>研究助理5月薪資</t>
  </si>
  <si>
    <t>研究助理6月薪資</t>
  </si>
  <si>
    <t>研究助理7月薪資</t>
  </si>
  <si>
    <t>研究助理8月薪資</t>
  </si>
  <si>
    <t>研究助理9月薪資</t>
  </si>
  <si>
    <t>研究助理6月三節獎金</t>
    <phoneticPr fontId="2" type="noConversion"/>
  </si>
  <si>
    <t>還9/1田智蓉代墊款</t>
    <phoneticPr fontId="2" type="noConversion"/>
  </si>
  <si>
    <t>AE1151001696</t>
    <phoneticPr fontId="2" type="noConversion"/>
  </si>
  <si>
    <t>AE1151001693</t>
    <phoneticPr fontId="2" type="noConversion"/>
  </si>
  <si>
    <t>115/10/07</t>
    <phoneticPr fontId="2" type="noConversion"/>
  </si>
  <si>
    <t>FR24777851</t>
    <phoneticPr fontId="2" type="noConversion"/>
  </si>
  <si>
    <t>AI排班與加班預測系統採購案-第三階段(尾款)</t>
    <phoneticPr fontId="2" type="noConversion"/>
  </si>
  <si>
    <t>115/10/13</t>
    <phoneticPr fontId="2" type="noConversion"/>
  </si>
  <si>
    <t>AE1151002157</t>
    <phoneticPr fontId="2" type="noConversion"/>
  </si>
  <si>
    <t>第三階段</t>
    <phoneticPr fontId="2" type="noConversion"/>
  </si>
  <si>
    <t>還資材蔡宛臻</t>
    <phoneticPr fontId="2" type="noConversion"/>
  </si>
  <si>
    <t>餐費</t>
    <phoneticPr fontId="2" type="noConversion"/>
  </si>
  <si>
    <t>ERP系統會議</t>
    <phoneticPr fontId="2" type="noConversion"/>
  </si>
  <si>
    <t>導入數位病理系統會議</t>
    <phoneticPr fontId="2" type="noConversion"/>
  </si>
  <si>
    <t>AE1151003589</t>
    <phoneticPr fontId="2" type="noConversion"/>
  </si>
  <si>
    <t>115/10/29</t>
    <phoneticPr fontId="2" type="noConversion"/>
  </si>
  <si>
    <t>AE1151003595</t>
    <phoneticPr fontId="2" type="noConversion"/>
  </si>
  <si>
    <t>資材室餐費</t>
    <phoneticPr fontId="2" type="noConversion"/>
  </si>
  <si>
    <t>蔡宛臻</t>
    <phoneticPr fontId="2" type="noConversion"/>
  </si>
  <si>
    <t>病理部餐費</t>
    <phoneticPr fontId="2" type="noConversion"/>
  </si>
  <si>
    <t>蔡佳蓉</t>
    <phoneticPr fontId="2" type="noConversion"/>
  </si>
  <si>
    <t>FP73185466</t>
    <phoneticPr fontId="2" type="noConversion"/>
  </si>
  <si>
    <t>9月租金-手術智慧排程與管理系統</t>
    <phoneticPr fontId="2" type="noConversion"/>
  </si>
  <si>
    <t>AE1151004460</t>
    <phoneticPr fontId="2" type="noConversion"/>
  </si>
  <si>
    <t>10月租金-手術智慧排程與管理系統</t>
    <phoneticPr fontId="2" type="noConversion"/>
  </si>
  <si>
    <t>FP73185491</t>
    <phoneticPr fontId="2" type="noConversion"/>
  </si>
  <si>
    <t>AE1151004487</t>
    <phoneticPr fontId="2" type="noConversion"/>
  </si>
  <si>
    <t>職安室餐費</t>
    <phoneticPr fontId="2" type="noConversion"/>
  </si>
  <si>
    <t>林佳瑩</t>
    <phoneticPr fontId="2" type="noConversion"/>
  </si>
  <si>
    <t>職安室項目討論</t>
    <phoneticPr fontId="2" type="noConversion"/>
  </si>
  <si>
    <t>AE1151004606</t>
  </si>
  <si>
    <t>AE1151004599</t>
  </si>
  <si>
    <t>AE1151004601</t>
  </si>
  <si>
    <t>AE1151004602</t>
  </si>
  <si>
    <t>AE1151004603</t>
  </si>
  <si>
    <t>115/10/30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</si>
</sst>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8" fontId="0" fillId="0" borderId="1" xfId="2" applyNumberFormat="1" applyFont="1" applyBorder="1" applyAlignment="1">
      <alignment horizontal="right" vertical="center"/>
    </xf>
    <xf numFmtId="14" fontId="0" fillId="0" borderId="1" xfId="0" applyNumberFormat="1" applyBorder="1">
      <alignment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2"/>
  <sheetViews>
    <sheetView workbookViewId="0">
      <selection activeCell="D15" sqref="D15"/>
    </sheetView>
  </sheetViews>
  <sheetFormatPr defaultRowHeight="16.2"/>
  <cols>
    <col min="1" max="1" width="15.33203125" bestFit="1" customWidth="1"/>
    <col min="2" max="2" width="13.33203125" bestFit="1" customWidth="1"/>
    <col min="3" max="3" width="49.21875" bestFit="1" customWidth="1"/>
    <col min="4" max="4" width="6" bestFit="1" customWidth="1"/>
    <col min="5" max="6" width="12.218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8" t="s">
        <v>141</v>
      </c>
      <c r="B1" s="78"/>
      <c r="C1" s="78"/>
      <c r="D1" s="78"/>
      <c r="E1" s="78"/>
      <c r="F1" s="78"/>
      <c r="G1" s="78"/>
      <c r="H1" s="78"/>
      <c r="I1" s="78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43" t="s">
        <v>143</v>
      </c>
      <c r="C3" s="43" t="s">
        <v>145</v>
      </c>
      <c r="D3" s="37">
        <v>1</v>
      </c>
      <c r="E3" s="76">
        <v>588000</v>
      </c>
      <c r="F3" s="76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43" t="s">
        <v>153</v>
      </c>
      <c r="C4" s="43" t="s">
        <v>154</v>
      </c>
      <c r="D4" s="37">
        <v>1</v>
      </c>
      <c r="E4" s="76">
        <v>1071000</v>
      </c>
      <c r="F4" s="76">
        <f t="shared" ref="F4:F7" si="0">D4*E4</f>
        <v>1071000</v>
      </c>
      <c r="G4" s="37" t="s">
        <v>150</v>
      </c>
      <c r="H4" s="74" t="s">
        <v>149</v>
      </c>
      <c r="I4" s="75" t="s">
        <v>229</v>
      </c>
    </row>
    <row r="5" spans="1:9">
      <c r="A5" s="36">
        <v>46231</v>
      </c>
      <c r="B5" s="43" t="s">
        <v>151</v>
      </c>
      <c r="C5" s="43" t="s">
        <v>155</v>
      </c>
      <c r="D5" s="37">
        <v>1</v>
      </c>
      <c r="E5" s="76">
        <v>714000</v>
      </c>
      <c r="F5" s="76">
        <f t="shared" si="0"/>
        <v>714000</v>
      </c>
      <c r="G5" s="37" t="s">
        <v>150</v>
      </c>
      <c r="H5" s="74" t="s">
        <v>149</v>
      </c>
      <c r="I5" s="37" t="s">
        <v>230</v>
      </c>
    </row>
    <row r="6" spans="1:9">
      <c r="A6" s="36">
        <v>46231</v>
      </c>
      <c r="B6" s="43" t="s">
        <v>152</v>
      </c>
      <c r="C6" s="43" t="s">
        <v>156</v>
      </c>
      <c r="D6" s="37">
        <v>1</v>
      </c>
      <c r="E6" s="76">
        <v>1071000</v>
      </c>
      <c r="F6" s="76">
        <f t="shared" si="0"/>
        <v>1071000</v>
      </c>
      <c r="G6" s="37" t="s">
        <v>150</v>
      </c>
      <c r="H6" s="74" t="s">
        <v>149</v>
      </c>
      <c r="I6" s="37" t="s">
        <v>231</v>
      </c>
    </row>
    <row r="7" spans="1:9">
      <c r="A7" s="36">
        <v>46289</v>
      </c>
      <c r="B7" s="43" t="s">
        <v>253</v>
      </c>
      <c r="C7" s="43" t="s">
        <v>254</v>
      </c>
      <c r="D7" s="37">
        <v>1</v>
      </c>
      <c r="E7" s="76">
        <v>714000</v>
      </c>
      <c r="F7" s="76">
        <f t="shared" si="0"/>
        <v>714000</v>
      </c>
      <c r="G7" s="37" t="s">
        <v>255</v>
      </c>
      <c r="H7" s="37" t="s">
        <v>256</v>
      </c>
      <c r="I7" s="37" t="s">
        <v>257</v>
      </c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9" t="s">
        <v>168</v>
      </c>
      <c r="B9" s="80"/>
      <c r="C9" s="80"/>
      <c r="D9" s="80"/>
      <c r="E9" s="81"/>
      <c r="F9" s="42">
        <f>SUM(F3:F8)</f>
        <v>4158000</v>
      </c>
      <c r="G9" s="79"/>
      <c r="H9" s="80"/>
      <c r="I9" s="81"/>
    </row>
    <row r="12" spans="1:9">
      <c r="F12" s="46"/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workbookViewId="0">
      <selection activeCell="B2" sqref="B2:F2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7" t="s">
        <v>5</v>
      </c>
      <c r="B2" s="8" t="s">
        <v>6</v>
      </c>
      <c r="C2" s="28">
        <v>130000</v>
      </c>
      <c r="D2" s="10">
        <f>SUMIF('明細表 '!B:B, B2, '明細表 '!D:D)</f>
        <v>78768</v>
      </c>
      <c r="E2" s="28">
        <f>C2-D2</f>
        <v>51232</v>
      </c>
      <c r="F2" s="11">
        <f>D2/C2</f>
        <v>0.60590769230769226</v>
      </c>
    </row>
    <row r="3" spans="1:7" ht="19.95" customHeight="1">
      <c r="A3" s="88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8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8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8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98599</v>
      </c>
    </row>
    <row r="7" spans="1:7" ht="19.95" customHeight="1">
      <c r="A7" s="89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82" t="s">
        <v>10</v>
      </c>
      <c r="B8" s="83"/>
      <c r="C8" s="9">
        <f>SUM(C2:C7)</f>
        <v>261200</v>
      </c>
      <c r="D8" s="9">
        <f>SUM(D2:D7)</f>
        <v>176315</v>
      </c>
      <c r="E8" s="28">
        <f>C8-D8</f>
        <v>84885</v>
      </c>
      <c r="F8" s="11">
        <f t="shared" si="1"/>
        <v>0.67501914241960181</v>
      </c>
    </row>
    <row r="9" spans="1:7" ht="23.4" customHeight="1">
      <c r="A9" s="90" t="s">
        <v>228</v>
      </c>
      <c r="B9" s="90"/>
      <c r="C9" s="71" t="s">
        <v>227</v>
      </c>
      <c r="D9" s="71" t="s">
        <v>226</v>
      </c>
      <c r="E9" s="72" t="s">
        <v>225</v>
      </c>
      <c r="F9" s="11"/>
    </row>
    <row r="10" spans="1:7" ht="23.4">
      <c r="A10" s="90"/>
      <c r="B10" s="90"/>
      <c r="C10" s="9">
        <f>SUMIF('明細表 '!B:B, "待沖帳", '明細表 '!D:D)</f>
        <v>51128</v>
      </c>
      <c r="D10" s="9">
        <f>SUM('明細表 '!E:E)</f>
        <v>51388</v>
      </c>
      <c r="E10" s="28">
        <f>(C10-D10)</f>
        <v>-260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4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5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5"/>
      <c r="B14" s="6"/>
      <c r="C14" s="9" t="s">
        <v>41</v>
      </c>
      <c r="D14" s="9">
        <v>65000</v>
      </c>
      <c r="E14" s="9">
        <f>E2+E5</f>
        <v>51401</v>
      </c>
      <c r="F14" s="23">
        <f>D14-E14</f>
        <v>13599</v>
      </c>
      <c r="G14" s="22"/>
    </row>
    <row r="15" spans="1:7" ht="46.8">
      <c r="A15" s="85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6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98599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 filterMode="1">
    <pageSetUpPr fitToPage="1"/>
  </sheetPr>
  <dimension ref="A1:T100"/>
  <sheetViews>
    <sheetView tabSelected="1" zoomScaleNormal="100" workbookViewId="0">
      <pane ySplit="1" topLeftCell="A63" activePane="bottomLeft" state="frozen"/>
      <selection pane="bottomLeft" activeCell="F81" sqref="F81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 hidden="1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 hidden="1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 hidden="1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 hidden="1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 hidden="1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 hidden="1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 hidden="1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hidden="1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 hidden="1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 hidden="1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 hidden="1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 hidden="1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 hidden="1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 hidden="1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 hidden="1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 hidden="1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 hidden="1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 hidden="1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 hidden="1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 hidden="1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 hidden="1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hidden="1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 hidden="1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 hidden="1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 hidden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 hidden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 hidden="1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 hidden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 hidden="1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 hidden="1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 hidden="1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 hidden="1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 hidden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 hidden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 hidden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 hidden="1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91" t="s">
        <v>117</v>
      </c>
      <c r="K45" s="92" t="s">
        <v>116</v>
      </c>
    </row>
    <row r="46" spans="1:20" hidden="1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91"/>
      <c r="K46" s="92"/>
    </row>
    <row r="47" spans="1:20" hidden="1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 hidden="1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 hidden="1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 hidden="1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 hidden="1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 hidden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 hidden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 hidden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 hidden="1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 hidden="1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 hidden="1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 hidden="1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 hidden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 hidden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 hidden="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 hidden="1">
      <c r="A72" s="6">
        <v>46301</v>
      </c>
      <c r="B72" s="56" t="s">
        <v>192</v>
      </c>
      <c r="C72" s="16" t="s">
        <v>238</v>
      </c>
      <c r="D72" s="2">
        <v>140</v>
      </c>
      <c r="E72" s="2">
        <v>0</v>
      </c>
      <c r="F72" s="2">
        <v>140</v>
      </c>
      <c r="G72" s="2"/>
      <c r="H72" s="15"/>
      <c r="I72" s="15"/>
      <c r="J72" s="15"/>
      <c r="K72" s="15"/>
    </row>
    <row r="73" spans="1:11" hidden="1">
      <c r="A73" s="6">
        <v>46301</v>
      </c>
      <c r="B73" s="56" t="s">
        <v>192</v>
      </c>
      <c r="C73" s="15" t="s">
        <v>239</v>
      </c>
      <c r="D73" s="2">
        <v>4550</v>
      </c>
      <c r="E73" s="2">
        <v>0</v>
      </c>
      <c r="F73" s="2">
        <v>4550</v>
      </c>
      <c r="G73" s="2"/>
      <c r="H73" s="15"/>
      <c r="I73" s="15"/>
      <c r="J73" s="15"/>
      <c r="K73" s="15"/>
    </row>
    <row r="74" spans="1:11" hidden="1">
      <c r="A74" s="6">
        <v>46301</v>
      </c>
      <c r="B74" s="56" t="s">
        <v>192</v>
      </c>
      <c r="C74" s="58" t="s">
        <v>223</v>
      </c>
      <c r="D74" s="2">
        <v>4321</v>
      </c>
      <c r="E74" s="2">
        <v>0</v>
      </c>
      <c r="F74" s="2">
        <v>4321</v>
      </c>
      <c r="G74" s="2"/>
      <c r="H74" s="15"/>
      <c r="I74" s="15"/>
      <c r="J74" s="15"/>
      <c r="K74" s="15"/>
    </row>
    <row r="75" spans="1:11" hidden="1">
      <c r="A75" s="6">
        <v>46301</v>
      </c>
      <c r="B75" s="56" t="s">
        <v>192</v>
      </c>
      <c r="C75" s="58" t="s">
        <v>223</v>
      </c>
      <c r="D75" s="2">
        <v>104</v>
      </c>
      <c r="E75" s="2">
        <v>0</v>
      </c>
      <c r="F75" s="2">
        <v>104</v>
      </c>
      <c r="G75" s="2"/>
      <c r="H75" s="15"/>
      <c r="I75" s="15"/>
      <c r="J75" s="15"/>
      <c r="K75" s="15"/>
    </row>
    <row r="76" spans="1:11" hidden="1">
      <c r="A76" s="6">
        <v>46301</v>
      </c>
      <c r="B76" s="56" t="s">
        <v>209</v>
      </c>
      <c r="C76" s="16" t="s">
        <v>249</v>
      </c>
      <c r="D76" s="2">
        <v>1589</v>
      </c>
      <c r="E76" s="2">
        <v>0</v>
      </c>
      <c r="F76" s="2">
        <v>1589</v>
      </c>
      <c r="G76" s="2"/>
      <c r="H76" s="15"/>
      <c r="I76" s="15"/>
      <c r="J76" s="15"/>
      <c r="K76" s="15"/>
    </row>
    <row r="77" spans="1:11">
      <c r="A77" s="6">
        <v>46302</v>
      </c>
      <c r="B77" s="50" t="s">
        <v>6</v>
      </c>
      <c r="C77" s="24" t="s">
        <v>214</v>
      </c>
      <c r="D77" s="2">
        <v>5040</v>
      </c>
      <c r="E77" s="2">
        <v>5040</v>
      </c>
      <c r="F77" s="2">
        <v>0</v>
      </c>
      <c r="G77" s="2"/>
      <c r="H77" s="15"/>
      <c r="I77" s="15"/>
      <c r="J77" s="15" t="s">
        <v>252</v>
      </c>
      <c r="K77" s="15" t="s">
        <v>251</v>
      </c>
    </row>
    <row r="78" spans="1:11">
      <c r="A78" s="6">
        <v>46302</v>
      </c>
      <c r="B78" s="50" t="s">
        <v>6</v>
      </c>
      <c r="C78" s="24" t="s">
        <v>214</v>
      </c>
      <c r="D78" s="2">
        <v>5040</v>
      </c>
      <c r="E78" s="2">
        <v>5040</v>
      </c>
      <c r="F78" s="2">
        <v>0</v>
      </c>
      <c r="G78" s="2"/>
      <c r="H78" s="15"/>
      <c r="I78" s="15"/>
      <c r="J78" s="15" t="s">
        <v>252</v>
      </c>
      <c r="K78" s="15" t="s">
        <v>250</v>
      </c>
    </row>
    <row r="79" spans="1:11" hidden="1">
      <c r="A79" s="6">
        <v>46315</v>
      </c>
      <c r="B79" s="56" t="s">
        <v>209</v>
      </c>
      <c r="C79" s="15" t="s">
        <v>258</v>
      </c>
      <c r="D79" s="2"/>
      <c r="E79" s="2"/>
      <c r="F79" s="2">
        <v>1772</v>
      </c>
      <c r="G79" s="2"/>
      <c r="H79" s="15"/>
      <c r="I79" s="15"/>
      <c r="J79" s="15"/>
      <c r="K79" s="15"/>
    </row>
    <row r="80" spans="1:11">
      <c r="A80" s="6">
        <v>46316</v>
      </c>
      <c r="B80" s="3" t="s">
        <v>259</v>
      </c>
      <c r="C80" s="15" t="s">
        <v>260</v>
      </c>
      <c r="D80" s="2">
        <v>2100</v>
      </c>
      <c r="E80" s="2"/>
      <c r="F80" s="2">
        <v>2100</v>
      </c>
      <c r="G80" s="2"/>
      <c r="H80" s="15"/>
      <c r="I80" s="15"/>
      <c r="J80" s="15" t="s">
        <v>263</v>
      </c>
      <c r="K80" s="15" t="s">
        <v>264</v>
      </c>
    </row>
    <row r="81" spans="1:11">
      <c r="A81" s="6">
        <v>46315</v>
      </c>
      <c r="B81" s="3" t="s">
        <v>259</v>
      </c>
      <c r="C81" s="15" t="s">
        <v>261</v>
      </c>
      <c r="D81" s="2">
        <v>4480</v>
      </c>
      <c r="E81" s="2">
        <v>480</v>
      </c>
      <c r="F81" s="2">
        <v>4000</v>
      </c>
      <c r="G81" s="2"/>
      <c r="H81" s="15"/>
      <c r="I81" s="15"/>
      <c r="J81" s="15" t="s">
        <v>263</v>
      </c>
      <c r="K81" s="15" t="s">
        <v>262</v>
      </c>
    </row>
    <row r="82" spans="1:11" hidden="1">
      <c r="A82" s="6">
        <v>46323</v>
      </c>
      <c r="B82" s="56" t="s">
        <v>209</v>
      </c>
      <c r="C82" s="15" t="s">
        <v>265</v>
      </c>
      <c r="D82" s="2"/>
      <c r="E82" s="2"/>
      <c r="F82" s="2">
        <v>2100</v>
      </c>
      <c r="G82" s="2" t="s">
        <v>266</v>
      </c>
      <c r="H82" s="15"/>
      <c r="I82" s="15"/>
      <c r="J82" s="15"/>
      <c r="K82" s="15"/>
    </row>
    <row r="83" spans="1:11" hidden="1">
      <c r="A83" s="6">
        <v>46324</v>
      </c>
      <c r="B83" s="56" t="s">
        <v>209</v>
      </c>
      <c r="C83" s="15" t="s">
        <v>267</v>
      </c>
      <c r="D83" s="2"/>
      <c r="E83" s="2"/>
      <c r="F83" s="2">
        <v>4000</v>
      </c>
      <c r="G83" s="2" t="s">
        <v>268</v>
      </c>
      <c r="H83" s="15"/>
      <c r="I83" s="15"/>
      <c r="J83" s="15"/>
      <c r="K83" s="15"/>
    </row>
    <row r="84" spans="1:11" hidden="1">
      <c r="A84" s="6">
        <v>46325</v>
      </c>
      <c r="B84" s="56" t="s">
        <v>209</v>
      </c>
      <c r="C84" s="15" t="s">
        <v>275</v>
      </c>
      <c r="D84" s="2"/>
      <c r="E84" s="2"/>
      <c r="F84" s="2">
        <v>8000</v>
      </c>
      <c r="G84" s="2" t="s">
        <v>276</v>
      </c>
      <c r="H84" s="15"/>
      <c r="I84" s="15"/>
      <c r="J84" s="15"/>
      <c r="K84" s="15"/>
    </row>
    <row r="85" spans="1:11">
      <c r="A85" s="6">
        <v>46296</v>
      </c>
      <c r="B85" s="3" t="s">
        <v>259</v>
      </c>
      <c r="C85" s="15" t="s">
        <v>277</v>
      </c>
      <c r="D85" s="2">
        <v>1680</v>
      </c>
      <c r="E85" s="2">
        <f t="shared" ref="E85:E90" si="2">D85-F85</f>
        <v>0</v>
      </c>
      <c r="F85" s="2">
        <v>1680</v>
      </c>
      <c r="G85" s="2"/>
      <c r="H85" s="15"/>
      <c r="I85" s="15"/>
      <c r="J85" s="15" t="s">
        <v>283</v>
      </c>
      <c r="K85" s="15" t="s">
        <v>278</v>
      </c>
    </row>
    <row r="86" spans="1:11">
      <c r="A86" s="6">
        <v>46302</v>
      </c>
      <c r="B86" s="3" t="s">
        <v>259</v>
      </c>
      <c r="C86" s="15" t="s">
        <v>277</v>
      </c>
      <c r="D86" s="2">
        <v>1290</v>
      </c>
      <c r="E86" s="2">
        <f t="shared" si="2"/>
        <v>0</v>
      </c>
      <c r="F86" s="2">
        <v>1290</v>
      </c>
      <c r="G86" s="2"/>
      <c r="H86" s="15"/>
      <c r="I86" s="15"/>
      <c r="J86" s="15" t="s">
        <v>283</v>
      </c>
      <c r="K86" s="15" t="s">
        <v>279</v>
      </c>
    </row>
    <row r="87" spans="1:11">
      <c r="A87" s="6">
        <v>46308</v>
      </c>
      <c r="B87" s="3" t="s">
        <v>259</v>
      </c>
      <c r="C87" s="15" t="s">
        <v>277</v>
      </c>
      <c r="D87" s="2">
        <v>1540</v>
      </c>
      <c r="E87" s="2">
        <f t="shared" si="2"/>
        <v>550</v>
      </c>
      <c r="F87" s="2">
        <v>990</v>
      </c>
      <c r="G87" s="2"/>
      <c r="H87" s="15"/>
      <c r="I87" s="15"/>
      <c r="J87" s="15" t="s">
        <v>283</v>
      </c>
      <c r="K87" s="15" t="s">
        <v>280</v>
      </c>
    </row>
    <row r="88" spans="1:11">
      <c r="A88" s="6">
        <v>46309</v>
      </c>
      <c r="B88" s="3" t="s">
        <v>259</v>
      </c>
      <c r="C88" s="15" t="s">
        <v>277</v>
      </c>
      <c r="D88" s="2">
        <v>1540</v>
      </c>
      <c r="E88" s="2">
        <f t="shared" si="2"/>
        <v>520</v>
      </c>
      <c r="F88" s="2">
        <v>1020</v>
      </c>
      <c r="G88" s="2"/>
      <c r="H88" s="15"/>
      <c r="I88" s="15"/>
      <c r="J88" s="15" t="s">
        <v>283</v>
      </c>
      <c r="K88" s="15" t="s">
        <v>281</v>
      </c>
    </row>
    <row r="89" spans="1:11">
      <c r="A89" s="6">
        <v>46316</v>
      </c>
      <c r="B89" s="3" t="s">
        <v>259</v>
      </c>
      <c r="C89" s="15" t="s">
        <v>277</v>
      </c>
      <c r="D89" s="2">
        <v>1620</v>
      </c>
      <c r="E89" s="2">
        <f t="shared" si="2"/>
        <v>0</v>
      </c>
      <c r="F89" s="2">
        <v>1620</v>
      </c>
      <c r="G89" s="2"/>
      <c r="H89" s="15"/>
      <c r="I89" s="15"/>
      <c r="J89" s="15" t="s">
        <v>283</v>
      </c>
      <c r="K89" s="15" t="s">
        <v>282</v>
      </c>
    </row>
    <row r="90" spans="1:11">
      <c r="A90" s="6">
        <v>46322</v>
      </c>
      <c r="B90" s="3" t="s">
        <v>259</v>
      </c>
      <c r="C90" s="15" t="s">
        <v>277</v>
      </c>
      <c r="D90" s="2">
        <v>1680</v>
      </c>
      <c r="E90" s="2">
        <f t="shared" si="2"/>
        <v>230</v>
      </c>
      <c r="F90" s="2">
        <v>1450</v>
      </c>
      <c r="G90" s="2"/>
      <c r="H90" s="15"/>
      <c r="I90" s="15"/>
      <c r="J90" s="15" t="s">
        <v>283</v>
      </c>
      <c r="K90" s="15" t="s">
        <v>278</v>
      </c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90" xr:uid="{BC203A93-8841-4BBB-9060-EA16340AF533}">
    <filterColumn colId="1">
      <filters>
        <filter val="餐費"/>
      </filters>
    </filterColumn>
  </autoFilter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C12" sqref="C12"/>
    </sheetView>
  </sheetViews>
  <sheetFormatPr defaultRowHeight="16.2"/>
  <cols>
    <col min="1" max="1" width="10.66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8" t="s">
        <v>165</v>
      </c>
      <c r="B1" s="78"/>
      <c r="C1" s="78"/>
      <c r="D1" s="78"/>
      <c r="E1" s="78"/>
      <c r="F1" s="78"/>
      <c r="G1" s="78"/>
      <c r="H1" s="78"/>
      <c r="I1" s="78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>
        <v>46286</v>
      </c>
      <c r="B5" s="15" t="s">
        <v>269</v>
      </c>
      <c r="C5" s="43" t="s">
        <v>270</v>
      </c>
      <c r="D5" s="37">
        <v>1</v>
      </c>
      <c r="E5" s="40">
        <v>349167</v>
      </c>
      <c r="F5" s="38">
        <f>E5*D5</f>
        <v>349167</v>
      </c>
      <c r="G5" s="37" t="s">
        <v>263</v>
      </c>
      <c r="H5" s="41" t="s">
        <v>271</v>
      </c>
      <c r="I5" s="15"/>
    </row>
    <row r="6" spans="1:9">
      <c r="A6" s="77">
        <v>46315</v>
      </c>
      <c r="B6" s="15" t="s">
        <v>273</v>
      </c>
      <c r="C6" s="43" t="s">
        <v>272</v>
      </c>
      <c r="D6" s="37">
        <v>1</v>
      </c>
      <c r="E6" s="40">
        <v>349167</v>
      </c>
      <c r="F6" s="38">
        <f>E6*D6</f>
        <v>349167</v>
      </c>
      <c r="G6" s="37" t="s">
        <v>263</v>
      </c>
      <c r="H6" s="15" t="s">
        <v>274</v>
      </c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9" t="s">
        <v>168</v>
      </c>
      <c r="B8" s="80"/>
      <c r="C8" s="80"/>
      <c r="D8" s="80"/>
      <c r="E8" s="81"/>
      <c r="F8" s="42">
        <f>SUM(F3:F7)</f>
        <v>1070028</v>
      </c>
      <c r="G8" s="79"/>
      <c r="H8" s="80"/>
      <c r="I8" s="81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564F-63EF-4B2B-8103-A3769055463C}">
  <dimension ref="A1:F11"/>
  <sheetViews>
    <sheetView topLeftCell="A2" workbookViewId="0">
      <selection activeCell="B23" sqref="B23"/>
    </sheetView>
  </sheetViews>
  <sheetFormatPr defaultRowHeight="16.2"/>
  <cols>
    <col min="1" max="1" width="10.44140625" bestFit="1" customWidth="1"/>
    <col min="2" max="2" width="42.88671875" bestFit="1" customWidth="1"/>
    <col min="3" max="3" width="11.109375" bestFit="1" customWidth="1"/>
    <col min="4" max="4" width="9.6640625" bestFit="1" customWidth="1"/>
    <col min="5" max="5" width="14.77734375" bestFit="1" customWidth="1"/>
    <col min="6" max="6" width="8.21875" bestFit="1" customWidth="1"/>
  </cols>
  <sheetData>
    <row r="1" spans="1:6">
      <c r="A1" s="78" t="s">
        <v>240</v>
      </c>
      <c r="B1" s="78"/>
      <c r="C1" s="78"/>
      <c r="D1" s="78"/>
      <c r="E1" s="78"/>
      <c r="F1" s="78"/>
    </row>
    <row r="2" spans="1:6" ht="31.2">
      <c r="A2" s="33" t="s">
        <v>55</v>
      </c>
      <c r="B2" s="33" t="s">
        <v>56</v>
      </c>
      <c r="C2" s="34" t="s">
        <v>168</v>
      </c>
      <c r="D2" s="34" t="s">
        <v>142</v>
      </c>
      <c r="E2" s="35" t="s">
        <v>139</v>
      </c>
      <c r="F2" s="34" t="s">
        <v>12</v>
      </c>
    </row>
    <row r="3" spans="1:6">
      <c r="A3" s="36">
        <v>46112</v>
      </c>
      <c r="B3" s="43" t="s">
        <v>241</v>
      </c>
      <c r="C3" s="38">
        <v>27231</v>
      </c>
      <c r="D3" s="37"/>
      <c r="E3" s="43"/>
      <c r="F3" s="37"/>
    </row>
    <row r="4" spans="1:6">
      <c r="A4" s="36">
        <v>46142</v>
      </c>
      <c r="B4" s="43" t="s">
        <v>242</v>
      </c>
      <c r="C4" s="38">
        <v>36893</v>
      </c>
      <c r="D4" s="37"/>
      <c r="E4" s="73"/>
      <c r="F4" s="15"/>
    </row>
    <row r="5" spans="1:6">
      <c r="A5" s="36">
        <v>46171</v>
      </c>
      <c r="B5" s="43" t="s">
        <v>243</v>
      </c>
      <c r="C5" s="38">
        <v>37897</v>
      </c>
      <c r="D5" s="37"/>
      <c r="E5" s="73"/>
      <c r="F5" s="15"/>
    </row>
    <row r="6" spans="1:6">
      <c r="A6" s="36">
        <v>46203</v>
      </c>
      <c r="B6" s="43" t="s">
        <v>244</v>
      </c>
      <c r="C6" s="38">
        <v>37897</v>
      </c>
      <c r="D6" s="15"/>
      <c r="E6" s="15"/>
      <c r="F6" s="15"/>
    </row>
    <row r="7" spans="1:6">
      <c r="A7" s="36">
        <v>46203</v>
      </c>
      <c r="B7" s="43" t="s">
        <v>248</v>
      </c>
      <c r="C7" s="38">
        <v>4834</v>
      </c>
      <c r="D7" s="15"/>
      <c r="E7" s="15"/>
      <c r="F7" s="15"/>
    </row>
    <row r="8" spans="1:6">
      <c r="A8" s="36">
        <v>46234</v>
      </c>
      <c r="B8" s="43" t="s">
        <v>245</v>
      </c>
      <c r="C8" s="38">
        <v>37897</v>
      </c>
      <c r="D8" s="15"/>
      <c r="E8" s="15"/>
      <c r="F8" s="15"/>
    </row>
    <row r="9" spans="1:6">
      <c r="A9" s="36">
        <v>46265</v>
      </c>
      <c r="B9" s="43" t="s">
        <v>246</v>
      </c>
      <c r="C9" s="38">
        <v>37897</v>
      </c>
      <c r="D9" s="15"/>
      <c r="E9" s="15"/>
      <c r="F9" s="15"/>
    </row>
    <row r="10" spans="1:6">
      <c r="A10" s="36">
        <v>46295</v>
      </c>
      <c r="B10" s="43" t="s">
        <v>247</v>
      </c>
      <c r="C10" s="38">
        <v>37897</v>
      </c>
      <c r="D10" s="15"/>
      <c r="E10" s="15"/>
      <c r="F10" s="15"/>
    </row>
    <row r="11" spans="1:6">
      <c r="A11" s="79" t="s">
        <v>168</v>
      </c>
      <c r="B11" s="80"/>
      <c r="C11" s="42">
        <f>SUM(C3:C10)</f>
        <v>258443</v>
      </c>
      <c r="D11" s="79"/>
      <c r="E11" s="80"/>
      <c r="F11" s="81"/>
    </row>
  </sheetData>
  <mergeCells count="3">
    <mergeCell ref="A1:F1"/>
    <mergeCell ref="A11:B11"/>
    <mergeCell ref="D11:F1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D20" sqref="D20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93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93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資本門</vt:lpstr>
      <vt:lpstr>業務費總表</vt:lpstr>
      <vt:lpstr>明細表 </vt:lpstr>
      <vt:lpstr>業務費-租金</vt:lpstr>
      <vt:lpstr>業務費-人事費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2026-10-30T06:47:10Z</dcterms:modified>
</cp:coreProperties>
</file>