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006" documentId="13_ncr:1_{182D9DB2-ED36-4605-9D4B-D74488644F2E}" xr6:coauthVersionLast="47" xr6:coauthVersionMax="47" xr10:uidLastSave="{AE881B7F-9389-4AFF-A99C-7F2E0F68582D}"/>
  <bookViews>
    <workbookView xWindow="-108" yWindow="-108" windowWidth="23256" windowHeight="12456" activeTab="1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<sst xmlns="http://schemas.openxmlformats.org/spreadsheetml/2006/main" count="493" uniqueCount="253">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</sst>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1" sqref="D11:G15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5" t="s">
        <v>141</v>
      </c>
      <c r="B1" s="75"/>
      <c r="C1" s="75"/>
      <c r="D1" s="75"/>
      <c r="E1" s="75"/>
      <c r="F1" s="75"/>
      <c r="G1" s="75"/>
      <c r="H1" s="75"/>
      <c r="I1" s="75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37" t="s">
        <v>143</v>
      </c>
      <c r="C3" s="37" t="s">
        <v>145</v>
      </c>
      <c r="D3" s="37">
        <v>1</v>
      </c>
      <c r="E3" s="38">
        <v>588000</v>
      </c>
      <c r="F3" s="38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15" t="s">
        <v>153</v>
      </c>
      <c r="C4" s="15" t="s">
        <v>154</v>
      </c>
      <c r="D4" s="37">
        <v>1</v>
      </c>
      <c r="E4" s="40">
        <v>1071000</v>
      </c>
      <c r="F4" s="38">
        <f t="shared" ref="F4:F6" si="0">D4*E4</f>
        <v>1071000</v>
      </c>
      <c r="G4" s="37" t="s">
        <v>150</v>
      </c>
      <c r="H4" s="73" t="s">
        <v>149</v>
      </c>
      <c r="I4" s="16" t="s">
        <v>229</v>
      </c>
    </row>
    <row r="5" spans="1:9">
      <c r="A5" s="36">
        <v>46231</v>
      </c>
      <c r="B5" s="15" t="s">
        <v>151</v>
      </c>
      <c r="C5" s="15" t="s">
        <v>155</v>
      </c>
      <c r="D5" s="37">
        <v>1</v>
      </c>
      <c r="E5" s="40">
        <v>714000</v>
      </c>
      <c r="F5" s="38">
        <f t="shared" si="0"/>
        <v>714000</v>
      </c>
      <c r="G5" s="37" t="s">
        <v>150</v>
      </c>
      <c r="H5" s="73" t="s">
        <v>149</v>
      </c>
      <c r="I5" s="15" t="s">
        <v>230</v>
      </c>
    </row>
    <row r="6" spans="1:9">
      <c r="A6" s="36">
        <v>46231</v>
      </c>
      <c r="B6" s="15" t="s">
        <v>152</v>
      </c>
      <c r="C6" s="15" t="s">
        <v>156</v>
      </c>
      <c r="D6" s="37">
        <v>1</v>
      </c>
      <c r="E6" s="40">
        <v>1071000</v>
      </c>
      <c r="F6" s="38">
        <f t="shared" si="0"/>
        <v>1071000</v>
      </c>
      <c r="G6" s="37" t="s">
        <v>150</v>
      </c>
      <c r="H6" s="73" t="s">
        <v>149</v>
      </c>
      <c r="I6" s="15" t="s">
        <v>231</v>
      </c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6" t="s">
        <v>168</v>
      </c>
      <c r="B9" s="77"/>
      <c r="C9" s="77"/>
      <c r="D9" s="77"/>
      <c r="E9" s="78"/>
      <c r="F9" s="42">
        <f>SUM(F3:F8)</f>
        <v>3444000</v>
      </c>
      <c r="G9" s="76"/>
      <c r="H9" s="77"/>
      <c r="I9" s="78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tabSelected="1" workbookViewId="0">
      <selection activeCell="D6" sqref="D6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4" t="s">
        <v>5</v>
      </c>
      <c r="B2" s="8" t="s">
        <v>6</v>
      </c>
      <c r="C2" s="28">
        <v>130000</v>
      </c>
      <c r="D2" s="10">
        <f>SUMIF('明細表 '!B:B, B2, '明細表 '!D:D)</f>
        <v>62838</v>
      </c>
      <c r="E2" s="28">
        <f>C2-D2</f>
        <v>67162</v>
      </c>
      <c r="F2" s="11">
        <f>D2/C2</f>
        <v>0.48336923076923077</v>
      </c>
    </row>
    <row r="3" spans="1:7" ht="19.95" customHeight="1">
      <c r="A3" s="85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5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5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5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82669</v>
      </c>
    </row>
    <row r="7" spans="1:7" ht="19.95" customHeight="1">
      <c r="A7" s="86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79" t="s">
        <v>10</v>
      </c>
      <c r="B8" s="80"/>
      <c r="C8" s="9">
        <f>SUM(C2:C7)</f>
        <v>261200</v>
      </c>
      <c r="D8" s="9">
        <f>SUM(D2:D7)</f>
        <v>160385</v>
      </c>
      <c r="E8" s="28">
        <f>C8-D8</f>
        <v>100815</v>
      </c>
      <c r="F8" s="11">
        <f t="shared" si="1"/>
        <v>0.61403139356814707</v>
      </c>
    </row>
    <row r="9" spans="1:7" ht="23.4" customHeight="1">
      <c r="A9" s="87" t="s">
        <v>228</v>
      </c>
      <c r="B9" s="87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7"/>
      <c r="B10" s="87"/>
      <c r="C10" s="9">
        <f>SUMIF('明細表 '!B:B, "待沖帳", '明細表 '!D:D)</f>
        <v>51128</v>
      </c>
      <c r="D10" s="9">
        <f>SUM('明細表 '!E:E)</f>
        <v>49608</v>
      </c>
      <c r="E10" s="28">
        <f>(C10-D10)</f>
        <v>1520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1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2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2"/>
      <c r="B14" s="6"/>
      <c r="C14" s="9" t="s">
        <v>41</v>
      </c>
      <c r="D14" s="9">
        <v>65000</v>
      </c>
      <c r="E14" s="9">
        <f>E2+E5</f>
        <v>67331</v>
      </c>
      <c r="F14" s="23">
        <f>D14-E14</f>
        <v>-2331</v>
      </c>
      <c r="G14" s="22"/>
    </row>
    <row r="15" spans="1:7" ht="46.8">
      <c r="A15" s="82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3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82669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zoomScaleNormal="100" workbookViewId="0">
      <pane ySplit="1" topLeftCell="A67" activePane="bottomLeft" state="frozen"/>
      <selection pane="bottomLeft" activeCell="D79" sqref="D79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88" t="s">
        <v>117</v>
      </c>
      <c r="K45" s="89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88"/>
      <c r="K46" s="89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B24" sqref="B2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5" t="s">
        <v>165</v>
      </c>
      <c r="B1" s="75"/>
      <c r="C1" s="75"/>
      <c r="D1" s="75"/>
      <c r="E1" s="75"/>
      <c r="F1" s="75"/>
      <c r="G1" s="75"/>
      <c r="H1" s="75"/>
      <c r="I1" s="75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6" t="s">
        <v>168</v>
      </c>
      <c r="B8" s="77"/>
      <c r="C8" s="77"/>
      <c r="D8" s="77"/>
      <c r="E8" s="78"/>
      <c r="F8" s="42">
        <f>SUM(F3:F7)</f>
        <v>371694</v>
      </c>
      <c r="G8" s="76"/>
      <c r="H8" s="77"/>
      <c r="I8" s="78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5" t="s">
        <v>240</v>
      </c>
      <c r="B1" s="75"/>
      <c r="C1" s="75"/>
      <c r="D1" s="75"/>
      <c r="E1" s="75"/>
      <c r="F1" s="75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4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4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6" t="s">
        <v>168</v>
      </c>
      <c r="B11" s="77"/>
      <c r="C11" s="42">
        <f>SUM(C3:C10)</f>
        <v>258443</v>
      </c>
      <c r="D11" s="76"/>
      <c r="E11" s="77"/>
      <c r="F11" s="78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0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0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2026-10-07T07:11:26Z</dcterms:modified>
</cp:coreProperties>
</file>