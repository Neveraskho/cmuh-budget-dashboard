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1060" documentId="13_ncr:1_{182D9DB2-ED36-4605-9D4B-D74488644F2E}" xr6:coauthVersionLast="47" xr6:coauthVersionMax="47" xr10:uidLastSave="{864AFC98-13BA-42FF-ADBB-F3259FBC8229}"/>
  <bookViews>
    <workbookView xWindow="-23148" yWindow="-108" windowWidth="23256" windowHeight="12456" activeTab="2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6" l="1"/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<sst xmlns="http://schemas.openxmlformats.org/spreadsheetml/2006/main" count="514" uniqueCount="269">
  <si>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</si>
  <si>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</si>
  <si>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</si>
  <si>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</si>
  <si>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</si>
  <si>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</si>
  <si>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</si>
  <si>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</si>
  <si>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</si>
  <si>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</si>
  <si>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</si>
  <si>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</si>
  <si>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</si>
  <si>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</si>
  <si>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</si>
  <si>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</si>
  <si>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</si>
  <si>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</si>
  <si>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</si>
  <si>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</si>
  <si>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</si>
  <si>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</si>
  <si>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</si>
  <si>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</si>
  <si>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</si>
  <si>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</si>
  <si>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</si>
  <si>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</si>
  <si>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</si>
  <si>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</si>
  <si>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</si>
  <si>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</si>
  <si>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</si>
  <si>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</si>
  <si>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</si>
  <si>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</si>
  <si>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</si>
  <si>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</si>
  <si>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</si>
  <si>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</si>
  <si>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</si>
  <si>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</si>
  <si>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</si>
  <si>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</si>
  <si>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</si>
  <si>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</si>
  <si>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</si>
  <si>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</si>
  <si>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</si>
  <si>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</si>
  <si>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</si>
  <si>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</si>
  <si>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</si>
  <si>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</si>
  <si>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</si>
  <si>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</si>
  <si>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</si>
  <si>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</si>
  <si>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</si>
  <si>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</si>
  <si>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</si>
  <si>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</si>
  <si>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</si>
  <si>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</si>
  <si>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</si>
  <si>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</si>
  <si>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</si>
  <si>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</si>
  <si>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</si>
  <si>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</si>
  <si>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</si>
  <si>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</si>
  <si>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</si>
  <si>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</si>
  <si>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</si>
  <si>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</si>
  <si>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</si>
  <si>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</si>
  <si>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</si>
  <si>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</si>
  <si>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</si>
  <si>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</si>
  <si>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</si>
  <si>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</si>
  <si>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</si>
  <si>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</si>
  <si>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</si>
  <si>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</si>
  <si>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</si>
  <si>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</si>
  <si>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</si>
  <si>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</si>
  <si>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</si>
  <si>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</si>
  <si>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</si>
  <si>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</si>
  <si>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</si>
  <si>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</si>
  <si>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</si>
  <si>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</si>
  <si>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</si>
  <si>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</si>
  <si>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</si>
  <si>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</si>
  <si>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</si>
  <si>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</si>
  <si>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</si>
  <si>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</si>
  <si>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</si>
  <si>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</si>
  <si>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</si>
  <si>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</si>
  <si>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</si>
  <si>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</si>
  <si>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</si>
  <si>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</si>
  <si>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</si>
  <si>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</si>
  <si>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</si>
  <si>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</si>
  <si>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</si>
  <si>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</si>
  <si>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</si>
  <si>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</si>
  <si>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</si>
  <si>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</si>
  <si>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</si>
  <si>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</si>
  <si>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</si>
  <si>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</si>
  <si>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</si>
  <si>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</si>
  <si>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</si>
  <si>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</si>
  <si>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</si>
  <si>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</si>
  <si>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</si>
  <si>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</si>
  <si>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</si>
  <si>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</si>
  <si>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</si>
  <si>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</si>
  <si>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</si>
  <si>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</si>
  <si>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</si>
  <si>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</si>
  <si>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</si>
  <si>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</si>
  <si>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</si>
  <si>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</si>
  <si>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</si>
  <si>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</si>
  <si>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</si>
  <si>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</si>
  <si>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</si>
  <si>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</si>
  <si>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</si>
  <si>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</si>
  <si>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</si>
  <si>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</si>
  <si>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</si>
  <si>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</si>
  <si>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</si>
  <si>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</si>
  <si>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</si>
  <si>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</si>
  <si>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</si>
  <si>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</si>
  <si>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</si>
  <si>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</si>
  <si>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</si>
  <si>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</si>
  <si>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</si>
  <si>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</si>
  <si>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</si>
  <si>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</si>
  <si>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</si>
  <si>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</si>
  <si>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</si>
  <si>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</si>
  <si>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</si>
  <si>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</si>
  <si>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</si>
  <si>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</si>
  <si>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</si>
  <si>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</si>
  <si>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</si>
  <si>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</si>
  <si>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</si>
  <si>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</si>
  <si>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</si>
  <si>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</si>
  <si>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</si>
  <si>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</si>
  <si>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</si>
  <si>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</si>
  <si>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</si>
  <si>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</si>
  <si>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</si>
  <si>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</si>
  <si>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</si>
  <si>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</si>
  <si>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</si>
  <si>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</si>
  <si>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</si>
  <si>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</si>
  <si>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</si>
  <si>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</si>
  <si>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</si>
  <si>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</si>
  <si>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</si>
  <si>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</si>
  <si>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</si>
  <si>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</si>
  <si>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</si>
  <si>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</si>
  <si>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</si>
  <si>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</si>
  <si>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</si>
  <si>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</si>
  <si>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</si>
  <si>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</si>
  <si>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</si>
  <si>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</si>
  <si>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</si>
  <si>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</si>
  <si>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</si>
  <si>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</si>
  <si>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</si>
  <si>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</si>
  <si>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</si>
  <si>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</si>
  <si>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</si>
  <si>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</si>
  <si>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</si>
  <si>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</si>
  <si>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</si>
  <si>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</si>
  <si>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</si>
  <si>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</si>
  <si>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</si>
  <si>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</si>
  <si>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</si>
  <si>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</si>
  <si>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</si>
  <si>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</si>
  <si>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</si>
  <si>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</si>
  <si>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</si>
  <si>
    <t>還9/1田智蓉代墊款</t>
    <phoneticPr fontId="2" type="noConversion"/>
  </si>
  <si>
    <t>AE1151001696</t>
    <phoneticPr fontId="2" type="noConversion"/>
  </si>
  <si>
    <t>AE1151001693</t>
    <phoneticPr fontId="2" type="noConversion"/>
  </si>
  <si>
    <t>115/10/07</t>
    <phoneticPr fontId="2" type="noConversion"/>
  </si>
  <si>
    <t>FR24777851</t>
    <phoneticPr fontId="2" type="noConversion"/>
  </si>
  <si>
    <t>AI排班與加班預測系統採購案-第三階段(尾款)</t>
    <phoneticPr fontId="2" type="noConversion"/>
  </si>
  <si>
    <t>115/10/13</t>
    <phoneticPr fontId="2" type="noConversion"/>
  </si>
  <si>
    <t>AE1151002157</t>
    <phoneticPr fontId="2" type="noConversion"/>
  </si>
  <si>
    <t>第三階段</t>
    <phoneticPr fontId="2" type="noConversion"/>
  </si>
  <si>
    <t>還資材蔡宛臻</t>
    <phoneticPr fontId="2" type="noConversion"/>
  </si>
  <si>
    <t>餐費</t>
    <phoneticPr fontId="2" type="noConversion"/>
  </si>
  <si>
    <t>ERP系統會議</t>
    <phoneticPr fontId="2" type="noConversion"/>
  </si>
  <si>
    <t>導入數位病理系統會議</t>
    <phoneticPr fontId="2" type="noConversion"/>
  </si>
  <si>
    <t>AE1151003589</t>
    <phoneticPr fontId="2" type="noConversion"/>
  </si>
  <si>
    <t>115/10/29</t>
    <phoneticPr fontId="2" type="noConversion"/>
  </si>
  <si>
    <t>AE1151003595</t>
    <phoneticPr fontId="2" type="noConversion"/>
  </si>
  <si>
    <t>資材室餐費</t>
    <phoneticPr fontId="2" type="noConversion"/>
  </si>
  <si>
    <t>蔡宛臻</t>
    <phoneticPr fontId="2" type="noConversion"/>
  </si>
  <si>
    <t>病理部餐費</t>
    <phoneticPr fontId="2" type="noConversion"/>
  </si>
  <si>
    <t>蔡佳蓉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</si>
</sst>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8" fontId="0" fillId="0" borderId="1" xfId="2" applyNumberFormat="1" applyFont="1" applyBorder="1" applyAlignment="1">
      <alignment horizontal="right"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workbookViewId="0">
      <selection activeCell="D15" sqref="D15"/>
    </sheetView>
  </sheetViews>
  <sheetFormatPr defaultRowHeight="16.2"/>
  <cols>
    <col min="1" max="1" width="15.33203125" bestFit="1" customWidth="1"/>
    <col min="2" max="2" width="13.33203125" bestFit="1" customWidth="1"/>
    <col min="3" max="3" width="49.21875" bestFit="1" customWidth="1"/>
    <col min="4" max="4" width="6" bestFit="1" customWidth="1"/>
    <col min="5" max="6" width="12.218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7" t="s">
        <v>141</v>
      </c>
      <c r="B1" s="77"/>
      <c r="C1" s="77"/>
      <c r="D1" s="77"/>
      <c r="E1" s="77"/>
      <c r="F1" s="77"/>
      <c r="G1" s="77"/>
      <c r="H1" s="77"/>
      <c r="I1" s="77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43" t="s">
        <v>143</v>
      </c>
      <c r="C3" s="43" t="s">
        <v>145</v>
      </c>
      <c r="D3" s="37">
        <v>1</v>
      </c>
      <c r="E3" s="76">
        <v>588000</v>
      </c>
      <c r="F3" s="76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43" t="s">
        <v>153</v>
      </c>
      <c r="C4" s="43" t="s">
        <v>154</v>
      </c>
      <c r="D4" s="37">
        <v>1</v>
      </c>
      <c r="E4" s="76">
        <v>1071000</v>
      </c>
      <c r="F4" s="76">
        <f t="shared" ref="F4:F7" si="0">D4*E4</f>
        <v>1071000</v>
      </c>
      <c r="G4" s="37" t="s">
        <v>150</v>
      </c>
      <c r="H4" s="74" t="s">
        <v>149</v>
      </c>
      <c r="I4" s="75" t="s">
        <v>229</v>
      </c>
    </row>
    <row r="5" spans="1:9">
      <c r="A5" s="36">
        <v>46231</v>
      </c>
      <c r="B5" s="43" t="s">
        <v>151</v>
      </c>
      <c r="C5" s="43" t="s">
        <v>155</v>
      </c>
      <c r="D5" s="37">
        <v>1</v>
      </c>
      <c r="E5" s="76">
        <v>714000</v>
      </c>
      <c r="F5" s="76">
        <f t="shared" si="0"/>
        <v>714000</v>
      </c>
      <c r="G5" s="37" t="s">
        <v>150</v>
      </c>
      <c r="H5" s="74" t="s">
        <v>149</v>
      </c>
      <c r="I5" s="37" t="s">
        <v>230</v>
      </c>
    </row>
    <row r="6" spans="1:9">
      <c r="A6" s="36">
        <v>46231</v>
      </c>
      <c r="B6" s="43" t="s">
        <v>152</v>
      </c>
      <c r="C6" s="43" t="s">
        <v>156</v>
      </c>
      <c r="D6" s="37">
        <v>1</v>
      </c>
      <c r="E6" s="76">
        <v>1071000</v>
      </c>
      <c r="F6" s="76">
        <f t="shared" si="0"/>
        <v>1071000</v>
      </c>
      <c r="G6" s="37" t="s">
        <v>150</v>
      </c>
      <c r="H6" s="74" t="s">
        <v>149</v>
      </c>
      <c r="I6" s="37" t="s">
        <v>231</v>
      </c>
    </row>
    <row r="7" spans="1:9">
      <c r="A7" s="36">
        <v>46289</v>
      </c>
      <c r="B7" s="43" t="s">
        <v>253</v>
      </c>
      <c r="C7" s="43" t="s">
        <v>254</v>
      </c>
      <c r="D7" s="37">
        <v>1</v>
      </c>
      <c r="E7" s="76">
        <v>714000</v>
      </c>
      <c r="F7" s="76">
        <f t="shared" si="0"/>
        <v>714000</v>
      </c>
      <c r="G7" s="37" t="s">
        <v>255</v>
      </c>
      <c r="H7" s="37" t="s">
        <v>256</v>
      </c>
      <c r="I7" s="37" t="s">
        <v>257</v>
      </c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8" t="s">
        <v>168</v>
      </c>
      <c r="B9" s="79"/>
      <c r="C9" s="79"/>
      <c r="D9" s="79"/>
      <c r="E9" s="80"/>
      <c r="F9" s="42">
        <f>SUM(F3:F8)</f>
        <v>4158000</v>
      </c>
      <c r="G9" s="78"/>
      <c r="H9" s="79"/>
      <c r="I9" s="80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B7" sqref="B7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6" t="s">
        <v>5</v>
      </c>
      <c r="B2" s="8" t="s">
        <v>6</v>
      </c>
      <c r="C2" s="28">
        <v>130000</v>
      </c>
      <c r="D2" s="10">
        <f>SUMIF('明細表 '!B:B, B2, '明細表 '!D:D)</f>
        <v>67318</v>
      </c>
      <c r="E2" s="28">
        <f>C2-D2</f>
        <v>62682</v>
      </c>
      <c r="F2" s="11">
        <f>D2/C2</f>
        <v>0.51783076923076921</v>
      </c>
    </row>
    <row r="3" spans="1:7" ht="19.95" customHeight="1">
      <c r="A3" s="87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7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7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7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87149</v>
      </c>
    </row>
    <row r="7" spans="1:7" ht="19.95" customHeight="1">
      <c r="A7" s="88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81" t="s">
        <v>10</v>
      </c>
      <c r="B8" s="82"/>
      <c r="C8" s="9">
        <f>SUM(C2:C7)</f>
        <v>261200</v>
      </c>
      <c r="D8" s="9">
        <f>SUM(D2:D7)</f>
        <v>164865</v>
      </c>
      <c r="E8" s="28">
        <f>C8-D8</f>
        <v>96335</v>
      </c>
      <c r="F8" s="11">
        <f t="shared" si="1"/>
        <v>0.63118300153139362</v>
      </c>
    </row>
    <row r="9" spans="1:7" ht="23.4" customHeight="1">
      <c r="A9" s="89" t="s">
        <v>228</v>
      </c>
      <c r="B9" s="89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9"/>
      <c r="B10" s="89"/>
      <c r="C10" s="9">
        <f>SUMIF('明細表 '!B:B, "待沖帳", '明細表 '!D:D)</f>
        <v>51128</v>
      </c>
      <c r="D10" s="9">
        <f>SUM('明細表 '!E:E)</f>
        <v>50088</v>
      </c>
      <c r="E10" s="28">
        <f>(C10-D10)</f>
        <v>1040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3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4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4"/>
      <c r="B14" s="6"/>
      <c r="C14" s="9" t="s">
        <v>41</v>
      </c>
      <c r="D14" s="9">
        <v>65000</v>
      </c>
      <c r="E14" s="9">
        <f>E2+E5</f>
        <v>62851</v>
      </c>
      <c r="F14" s="23">
        <f>D14-E14</f>
        <v>2149</v>
      </c>
      <c r="G14" s="22"/>
    </row>
    <row r="15" spans="1:7" ht="46.8">
      <c r="A15" s="84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5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87149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tabSelected="1" zoomScaleNormal="100" workbookViewId="0">
      <pane ySplit="1" topLeftCell="A72" activePane="bottomLeft" state="frozen"/>
      <selection pane="bottomLeft" activeCell="D87" sqref="D87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90" t="s">
        <v>117</v>
      </c>
      <c r="K45" s="91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90"/>
      <c r="K46" s="91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6" t="s">
        <v>192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>
        <v>46301</v>
      </c>
      <c r="B76" s="56" t="s">
        <v>209</v>
      </c>
      <c r="C76" s="16" t="s">
        <v>249</v>
      </c>
      <c r="D76" s="2">
        <v>1589</v>
      </c>
      <c r="E76" s="2">
        <v>0</v>
      </c>
      <c r="F76" s="2">
        <v>1589</v>
      </c>
      <c r="G76" s="2"/>
      <c r="H76" s="15"/>
      <c r="I76" s="15"/>
      <c r="J76" s="15"/>
      <c r="K76" s="15"/>
    </row>
    <row r="77" spans="1:11">
      <c r="A77" s="6">
        <v>46302</v>
      </c>
      <c r="B77" s="50" t="s">
        <v>6</v>
      </c>
      <c r="C77" s="24" t="s">
        <v>214</v>
      </c>
      <c r="D77" s="2">
        <v>5040</v>
      </c>
      <c r="E77" s="2">
        <v>5040</v>
      </c>
      <c r="F77" s="2">
        <v>0</v>
      </c>
      <c r="G77" s="2"/>
      <c r="H77" s="15"/>
      <c r="I77" s="15"/>
      <c r="J77" s="15" t="s">
        <v>252</v>
      </c>
      <c r="K77" s="15" t="s">
        <v>251</v>
      </c>
    </row>
    <row r="78" spans="1:11">
      <c r="A78" s="6">
        <v>46302</v>
      </c>
      <c r="B78" s="50" t="s">
        <v>6</v>
      </c>
      <c r="C78" s="24" t="s">
        <v>214</v>
      </c>
      <c r="D78" s="2">
        <v>5040</v>
      </c>
      <c r="E78" s="2">
        <v>5040</v>
      </c>
      <c r="F78" s="2">
        <v>0</v>
      </c>
      <c r="G78" s="2"/>
      <c r="H78" s="15"/>
      <c r="I78" s="15"/>
      <c r="J78" s="15" t="s">
        <v>252</v>
      </c>
      <c r="K78" s="15" t="s">
        <v>250</v>
      </c>
    </row>
    <row r="79" spans="1:11">
      <c r="A79" s="6">
        <v>46315</v>
      </c>
      <c r="B79" s="56" t="s">
        <v>209</v>
      </c>
      <c r="C79" s="15" t="s">
        <v>258</v>
      </c>
      <c r="D79" s="2"/>
      <c r="E79" s="2"/>
      <c r="F79" s="2">
        <v>1772</v>
      </c>
      <c r="G79" s="2"/>
      <c r="H79" s="15"/>
      <c r="I79" s="15"/>
      <c r="J79" s="15"/>
      <c r="K79" s="15"/>
    </row>
    <row r="80" spans="1:11">
      <c r="A80" s="6">
        <v>46316</v>
      </c>
      <c r="B80" s="3" t="s">
        <v>259</v>
      </c>
      <c r="C80" s="15" t="s">
        <v>260</v>
      </c>
      <c r="D80" s="2"/>
      <c r="E80" s="2"/>
      <c r="F80" s="2">
        <v>2100</v>
      </c>
      <c r="G80" s="2"/>
      <c r="H80" s="15"/>
      <c r="I80" s="15"/>
      <c r="J80" s="15" t="s">
        <v>263</v>
      </c>
      <c r="K80" s="15" t="s">
        <v>264</v>
      </c>
    </row>
    <row r="81" spans="1:11">
      <c r="A81" s="6">
        <v>46315</v>
      </c>
      <c r="B81" s="3" t="s">
        <v>259</v>
      </c>
      <c r="C81" s="15" t="s">
        <v>261</v>
      </c>
      <c r="D81" s="2">
        <v>4480</v>
      </c>
      <c r="E81" s="2">
        <v>480</v>
      </c>
      <c r="F81" s="2">
        <v>4000</v>
      </c>
      <c r="G81" s="2"/>
      <c r="H81" s="15"/>
      <c r="I81" s="15"/>
      <c r="J81" s="15" t="s">
        <v>263</v>
      </c>
      <c r="K81" s="15" t="s">
        <v>262</v>
      </c>
    </row>
    <row r="82" spans="1:11">
      <c r="A82" s="6">
        <v>46323</v>
      </c>
      <c r="B82" s="56" t="s">
        <v>209</v>
      </c>
      <c r="C82" s="15" t="s">
        <v>265</v>
      </c>
      <c r="D82" s="2"/>
      <c r="E82" s="2"/>
      <c r="F82" s="2">
        <v>2100</v>
      </c>
      <c r="G82" s="2" t="s">
        <v>266</v>
      </c>
      <c r="H82" s="15"/>
      <c r="I82" s="15"/>
      <c r="J82" s="15"/>
      <c r="K82" s="15"/>
    </row>
    <row r="83" spans="1:11">
      <c r="A83" s="6">
        <v>46324</v>
      </c>
      <c r="B83" s="56" t="s">
        <v>209</v>
      </c>
      <c r="C83" s="15" t="s">
        <v>267</v>
      </c>
      <c r="D83" s="2"/>
      <c r="E83" s="2"/>
      <c r="F83" s="2">
        <v>4000</v>
      </c>
      <c r="G83" s="2" t="s">
        <v>268</v>
      </c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B24" sqref="B2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7" t="s">
        <v>165</v>
      </c>
      <c r="B1" s="77"/>
      <c r="C1" s="77"/>
      <c r="D1" s="77"/>
      <c r="E1" s="77"/>
      <c r="F1" s="77"/>
      <c r="G1" s="77"/>
      <c r="H1" s="77"/>
      <c r="I1" s="77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8" t="s">
        <v>168</v>
      </c>
      <c r="B8" s="79"/>
      <c r="C8" s="79"/>
      <c r="D8" s="79"/>
      <c r="E8" s="80"/>
      <c r="F8" s="42">
        <f>SUM(F3:F7)</f>
        <v>371694</v>
      </c>
      <c r="G8" s="78"/>
      <c r="H8" s="79"/>
      <c r="I8" s="80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opLeftCell="A2" workbookViewId="0">
      <selection activeCell="B23" sqref="B23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7" t="s">
        <v>240</v>
      </c>
      <c r="B1" s="77"/>
      <c r="C1" s="77"/>
      <c r="D1" s="77"/>
      <c r="E1" s="77"/>
      <c r="F1" s="77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3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3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8" t="s">
        <v>168</v>
      </c>
      <c r="B11" s="79"/>
      <c r="C11" s="42">
        <f>SUM(C3:C10)</f>
        <v>258443</v>
      </c>
      <c r="D11" s="78"/>
      <c r="E11" s="79"/>
      <c r="F11" s="80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2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2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2026-10-29T00:51:55Z</dcterms:modified>
</cp:coreProperties>
</file>