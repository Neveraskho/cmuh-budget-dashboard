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cmuhorgtw-my.sharepoint.com/personal/033951_tool_caaumed_org_tw/Documents/CMUH/健康台灣深耕計畫/115年費用核銷/"/>
    </mc:Choice>
  </mc:AlternateContent>
  <xr:revisionPtr revIDLastSave="1027" documentId="13_ncr:1_{182D9DB2-ED36-4605-9D4B-D74488644F2E}" xr6:coauthVersionLast="47" xr6:coauthVersionMax="47" xr10:uidLastSave="{91C8F727-4771-4614-A84F-CA0038D0B7A9}"/>
  <bookViews>
    <workbookView xWindow="-23148" yWindow="-108" windowWidth="23256" windowHeight="12456" xr2:uid="{9CC1BB25-7D3B-4ECC-A3A2-A5AB657F9242}"/>
  </bookViews>
  <sheets>
    <sheet name="資本門" sheetId="6" r:id="rId1"/>
    <sheet name="業務費總表" sheetId="1" r:id="rId2"/>
    <sheet name="明細表 " sheetId="10" r:id="rId3"/>
    <sheet name="業務費-租金" sheetId="7" r:id="rId4"/>
    <sheet name="業務費-人事費" sheetId="12" r:id="rId5"/>
    <sheet name="交通費" sheetId="4" r:id="rId6"/>
    <sheet name="參數設定" sheetId="9" r:id="rId7"/>
  </sheets>
  <definedNames>
    <definedName name="_xlnm._FilterDatabase" localSheetId="2" hidden="1">'明細表 '!$A$1:$K$70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6" l="1"/>
  <c r="C11" i="12" l="1"/>
  <c r="D10" i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3" i="1" s="1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7" i="1" s="1"/>
  <c r="D67" i="10"/>
  <c r="D68" i="10"/>
  <c r="D69" i="10"/>
  <c r="D70" i="10"/>
  <c r="D2" i="10"/>
  <c r="C10" i="1"/>
  <c r="D4" i="1"/>
  <c r="H16" i="10"/>
  <c r="E10" i="1" l="1"/>
  <c r="D2" i="1"/>
  <c r="D6" i="1"/>
  <c r="D5" i="1"/>
  <c r="F4" i="7"/>
  <c r="F7" i="1" l="1"/>
  <c r="C8" i="1"/>
  <c r="E7" i="1" l="1"/>
  <c r="F9" i="6" l="1"/>
  <c r="F8" i="7"/>
  <c r="F4" i="6" l="1"/>
  <c r="F5" i="6"/>
  <c r="F6" i="6"/>
  <c r="F3" i="6"/>
  <c r="D22" i="1"/>
  <c r="D21" i="1"/>
  <c r="E6" i="1"/>
  <c r="F6" i="1" l="1"/>
  <c r="F3" i="1"/>
  <c r="F4" i="1"/>
  <c r="D8" i="1" l="1"/>
  <c r="E5" i="1"/>
  <c r="G6" i="1"/>
  <c r="D24" i="1"/>
  <c r="E3" i="1"/>
  <c r="E4" i="1"/>
  <c r="F5" i="1"/>
  <c r="E2" i="1"/>
  <c r="E14" i="1" l="1"/>
  <c r="F14" i="1" s="1"/>
  <c r="F8" i="1"/>
  <c r="E8" i="1"/>
  <c r="F2" i="1"/>
</calcChain>
</file>

<file path=xl/sharedStrings.xml><?xml version="1.0" encoding="utf-8"?>
<sst xmlns="http://schemas.openxmlformats.org/spreadsheetml/2006/main" count="498" uniqueCount="258">
  <si>
    <t>範疇</t>
  </si>
  <si>
    <t>項目</t>
  </si>
  <si>
    <t>已核銷支出 (B)</t>
  </si>
  <si>
    <t>剩餘可用餘額 (C)</t>
  </si>
  <si>
    <t>執行進度 (%)</t>
  </si>
  <si>
    <t>範疇一</t>
  </si>
  <si>
    <t>餐費</t>
  </si>
  <si>
    <t>文具紙張</t>
  </si>
  <si>
    <t>印刷</t>
  </si>
  <si>
    <t>雜支費</t>
  </si>
  <si>
    <t>合計</t>
  </si>
  <si>
    <t>支出金額</t>
  </si>
  <si>
    <t>說明 / 備註</t>
  </si>
  <si>
    <t xml:space="preserve">項目 </t>
    <phoneticPr fontId="2" type="noConversion"/>
  </si>
  <si>
    <t>出席費</t>
    <phoneticPr fontId="2" type="noConversion"/>
  </si>
  <si>
    <t>發票/收據日期</t>
    <phoneticPr fontId="2" type="noConversion"/>
  </si>
  <si>
    <t>AI排班評選會咖啡</t>
    <phoneticPr fontId="2" type="noConversion"/>
  </si>
  <si>
    <t>小組會議飲料</t>
  </si>
  <si>
    <t>小組會議飲料</t>
    <phoneticPr fontId="2" type="noConversion"/>
  </si>
  <si>
    <t>小組會議便當</t>
    <phoneticPr fontId="2" type="noConversion"/>
  </si>
  <si>
    <t>還科室經費</t>
    <phoneticPr fontId="2" type="noConversion"/>
  </si>
  <si>
    <t>2026/4/15計</t>
    <phoneticPr fontId="2" type="noConversion"/>
  </si>
  <si>
    <t>小組會議便當</t>
  </si>
  <si>
    <t>出席費</t>
  </si>
  <si>
    <t>AI排班評選會委員出席費</t>
    <phoneticPr fontId="2" type="noConversion"/>
  </si>
  <si>
    <t>AE1150301293</t>
    <phoneticPr fontId="2" type="noConversion"/>
  </si>
  <si>
    <t>AE1150302061</t>
    <phoneticPr fontId="2" type="noConversion"/>
  </si>
  <si>
    <t>AE1150401519</t>
  </si>
  <si>
    <t>AE1150401522</t>
    <phoneticPr fontId="9" type="noConversion"/>
  </si>
  <si>
    <t>AE1150401528</t>
    <phoneticPr fontId="2" type="noConversion"/>
  </si>
  <si>
    <t>AE1150401525</t>
    <phoneticPr fontId="2" type="noConversion"/>
  </si>
  <si>
    <t>AE1150401511</t>
    <phoneticPr fontId="2" type="noConversion"/>
  </si>
  <si>
    <t>AE1150401513</t>
    <phoneticPr fontId="2" type="noConversion"/>
  </si>
  <si>
    <t>AE1150401518</t>
    <phoneticPr fontId="2" type="noConversion"/>
  </si>
  <si>
    <t>自科室借款</t>
    <phoneticPr fontId="2" type="noConversion"/>
  </si>
  <si>
    <t>評選/審查會咖啡</t>
  </si>
  <si>
    <t>評選/審查會咖啡</t>
    <phoneticPr fontId="2" type="noConversion"/>
  </si>
  <si>
    <t>海報輸出</t>
  </si>
  <si>
    <t>海報輸出</t>
    <phoneticPr fontId="2" type="noConversion"/>
  </si>
  <si>
    <t>彩印</t>
  </si>
  <si>
    <t>彩印</t>
    <phoneticPr fontId="2" type="noConversion"/>
  </si>
  <si>
    <t>已借支
(餐費+雜支)</t>
    <phoneticPr fontId="2" type="noConversion"/>
  </si>
  <si>
    <t>AE1150403563</t>
  </si>
  <si>
    <t>AE1150403566</t>
  </si>
  <si>
    <t>其他</t>
    <phoneticPr fontId="2" type="noConversion"/>
  </si>
  <si>
    <t>AE1150403570</t>
    <phoneticPr fontId="2" type="noConversion"/>
  </si>
  <si>
    <t>AE1150403594</t>
  </si>
  <si>
    <t>AE1150403596</t>
    <phoneticPr fontId="2" type="noConversion"/>
  </si>
  <si>
    <r>
      <rPr>
        <b/>
        <sz val="14"/>
        <rFont val="Microsoft JhengHei Light"/>
        <family val="2"/>
        <charset val="136"/>
      </rPr>
      <t>核銷案號</t>
    </r>
    <phoneticPr fontId="9" type="noConversion"/>
  </si>
  <si>
    <t>交通費</t>
    <phoneticPr fontId="2" type="noConversion"/>
  </si>
  <si>
    <t>3/26評選會委員交通費</t>
    <phoneticPr fontId="2" type="noConversion"/>
  </si>
  <si>
    <t>AE1150500416</t>
    <phoneticPr fontId="2" type="noConversion"/>
  </si>
  <si>
    <t>2026.03.26</t>
    <phoneticPr fontId="2" type="noConversion"/>
  </si>
  <si>
    <t>AE1150500192</t>
    <phoneticPr fontId="2" type="noConversion"/>
  </si>
  <si>
    <t>數量</t>
    <phoneticPr fontId="2" type="noConversion"/>
  </si>
  <si>
    <t>日期</t>
    <phoneticPr fontId="2" type="noConversion"/>
  </si>
  <si>
    <t>項目</t>
    <phoneticPr fontId="2" type="noConversion"/>
  </si>
  <si>
    <t>費用</t>
    <phoneticPr fontId="2" type="noConversion"/>
  </si>
  <si>
    <t>借科室經費
(出席費)</t>
    <phoneticPr fontId="2" type="noConversion"/>
  </si>
  <si>
    <t>AE1150403584</t>
    <phoneticPr fontId="2" type="noConversion"/>
  </si>
  <si>
    <t>用大計畫核銷還款
AE1150403584</t>
    <phoneticPr fontId="2" type="noConversion"/>
  </si>
  <si>
    <t>用大計畫核銷還款
AE1150403576
AE1150403577</t>
    <phoneticPr fontId="2" type="noConversion"/>
  </si>
  <si>
    <t>AE1150403576</t>
    <phoneticPr fontId="2" type="noConversion"/>
  </si>
  <si>
    <t>AE1150403577</t>
    <phoneticPr fontId="2" type="noConversion"/>
  </si>
  <si>
    <t>AE1150401670</t>
    <phoneticPr fontId="2" type="noConversion"/>
  </si>
  <si>
    <t>AE1150403373</t>
    <phoneticPr fontId="2" type="noConversion"/>
  </si>
  <si>
    <r>
      <rPr>
        <b/>
        <sz val="14"/>
        <rFont val="Microsoft JhengHei Light"/>
        <family val="2"/>
        <charset val="136"/>
      </rPr>
      <t xml:space="preserve">核銷案號
</t>
    </r>
    <r>
      <rPr>
        <b/>
        <sz val="12"/>
        <color rgb="FF1F1F1F"/>
        <rFont val="Microsoft JhengHei Light"/>
        <family val="2"/>
        <charset val="136"/>
      </rPr>
      <t>(黃底未借支)</t>
    </r>
    <phoneticPr fontId="9" type="noConversion"/>
  </si>
  <si>
    <t>AE1150403551</t>
    <phoneticPr fontId="2" type="noConversion"/>
  </si>
  <si>
    <t>AE1150403559</t>
    <phoneticPr fontId="2" type="noConversion"/>
  </si>
  <si>
    <t>AE1150403555</t>
    <phoneticPr fontId="2" type="noConversion"/>
  </si>
  <si>
    <t>AE1150403587</t>
    <phoneticPr fontId="2" type="noConversion"/>
  </si>
  <si>
    <t>AE1150403593</t>
    <phoneticPr fontId="2" type="noConversion"/>
  </si>
  <si>
    <t>已用$(備註)</t>
    <phoneticPr fontId="2" type="noConversion"/>
  </si>
  <si>
    <t>核銷單
列印日期</t>
    <phoneticPr fontId="2" type="noConversion"/>
  </si>
  <si>
    <t>115/04/30</t>
  </si>
  <si>
    <t>115/03/24</t>
  </si>
  <si>
    <t>115/03/18</t>
  </si>
  <si>
    <t>115/04/16</t>
  </si>
  <si>
    <t>115/04/28</t>
  </si>
  <si>
    <t>115/04/17</t>
  </si>
  <si>
    <t>115/04/28</t>
    <phoneticPr fontId="2" type="noConversion"/>
  </si>
  <si>
    <t>115/05/04</t>
    <phoneticPr fontId="2" type="noConversion"/>
  </si>
  <si>
    <t>借科室經費
(飲料費)</t>
    <phoneticPr fontId="2" type="noConversion"/>
  </si>
  <si>
    <t>AE1150501487</t>
    <phoneticPr fontId="2" type="noConversion"/>
  </si>
  <si>
    <t>115/05/15</t>
    <phoneticPr fontId="2" type="noConversion"/>
  </si>
  <si>
    <t>借科室經費
(便當+飲料)</t>
    <phoneticPr fontId="2" type="noConversion"/>
  </si>
  <si>
    <t>審查會前會
石蜜園 雞腿便當*15
50嵐*15</t>
    <phoneticPr fontId="2" type="noConversion"/>
  </si>
  <si>
    <t>石蜜園便當</t>
    <phoneticPr fontId="2" type="noConversion"/>
  </si>
  <si>
    <t>50嵐飲料</t>
    <phoneticPr fontId="2" type="noConversion"/>
  </si>
  <si>
    <t>借科室經費
(餐費)</t>
    <phoneticPr fontId="2" type="noConversion"/>
  </si>
  <si>
    <t>餐盒費用</t>
    <phoneticPr fontId="2" type="noConversion"/>
  </si>
  <si>
    <t>總計借款</t>
    <phoneticPr fontId="2" type="noConversion"/>
  </si>
  <si>
    <t>審查會餐盒</t>
    <phoneticPr fontId="2" type="noConversion"/>
  </si>
  <si>
    <t>借款扣除出席費</t>
    <phoneticPr fontId="2" type="noConversion"/>
  </si>
  <si>
    <t>已支出
(餐費+雜支)</t>
    <phoneticPr fontId="2" type="noConversion"/>
  </si>
  <si>
    <t>扣除第一次出席費
14500</t>
    <phoneticPr fontId="2" type="noConversion"/>
  </si>
  <si>
    <t>AI排班 出席費
(轉)洪郁涵</t>
    <phoneticPr fontId="2" type="noConversion"/>
  </si>
  <si>
    <t>加護病房 出席費
(轉)洪郁涵</t>
    <phoneticPr fontId="2" type="noConversion"/>
  </si>
  <si>
    <t>不留痕雙面膠
(轉)何承翰</t>
    <phoneticPr fontId="2" type="noConversion"/>
  </si>
  <si>
    <t>籤筒用品
(轉)何承翰</t>
    <phoneticPr fontId="2" type="noConversion"/>
  </si>
  <si>
    <t>審查會文具
(轉)何承翰</t>
    <phoneticPr fontId="2" type="noConversion"/>
  </si>
  <si>
    <t>還喻萱代墊款</t>
    <phoneticPr fontId="2" type="noConversion"/>
  </si>
  <si>
    <t>不算總出席費
1.15000
2.20000
3.7500
4.5000</t>
    <phoneticPr fontId="2" type="noConversion"/>
  </si>
  <si>
    <t>還久大代墊款</t>
    <phoneticPr fontId="2" type="noConversion"/>
  </si>
  <si>
    <t>海報看板(畫板)</t>
    <phoneticPr fontId="2" type="noConversion"/>
  </si>
  <si>
    <t>AE1150503073</t>
    <phoneticPr fontId="2" type="noConversion"/>
  </si>
  <si>
    <t>丹麥夾、事務盤
(轉)何承翰</t>
    <phoneticPr fontId="2" type="noConversion"/>
  </si>
  <si>
    <t>AE1150503075</t>
    <phoneticPr fontId="2" type="noConversion"/>
  </si>
  <si>
    <t>115/05/26</t>
    <phoneticPr fontId="2" type="noConversion"/>
  </si>
  <si>
    <t>AE1150503077</t>
    <phoneticPr fontId="2" type="noConversion"/>
  </si>
  <si>
    <t>手術排程審查會出席費
(轉)洪郁涵</t>
    <phoneticPr fontId="2" type="noConversion"/>
  </si>
  <si>
    <t>AE1150503124</t>
    <phoneticPr fontId="2" type="noConversion"/>
  </si>
  <si>
    <t>AE1150503206</t>
    <phoneticPr fontId="2" type="noConversion"/>
  </si>
  <si>
    <t>115/05/27</t>
    <phoneticPr fontId="2" type="noConversion"/>
  </si>
  <si>
    <t>AE1150503212</t>
    <phoneticPr fontId="2" type="noConversion"/>
  </si>
  <si>
    <t>文件夾</t>
    <phoneticPr fontId="2" type="noConversion"/>
  </si>
  <si>
    <t>AE1150601217</t>
    <phoneticPr fontId="2" type="noConversion"/>
  </si>
  <si>
    <t>115/06/09</t>
    <phoneticPr fontId="2" type="noConversion"/>
  </si>
  <si>
    <t>AE1150601611</t>
    <phoneticPr fontId="2" type="noConversion"/>
  </si>
  <si>
    <t>115/06/12</t>
    <phoneticPr fontId="2" type="noConversion"/>
  </si>
  <si>
    <t>AE1150601612</t>
    <phoneticPr fontId="2" type="noConversion"/>
  </si>
  <si>
    <t>機器人審查會_出席費
(轉)洪郁涵</t>
    <phoneticPr fontId="2" type="noConversion"/>
  </si>
  <si>
    <t>智管家審查會_出席費
(轉)洪郁涵</t>
    <phoneticPr fontId="2" type="noConversion"/>
  </si>
  <si>
    <t>AE1150601616</t>
    <phoneticPr fontId="2" type="noConversion"/>
  </si>
  <si>
    <t>AE1150601621</t>
    <phoneticPr fontId="2" type="noConversion"/>
  </si>
  <si>
    <t>老賴茶棧
BF-11023019
18杯
喻萱代墊款(已還)</t>
    <phoneticPr fontId="2" type="noConversion"/>
  </si>
  <si>
    <t>AE1150601817</t>
    <phoneticPr fontId="2" type="noConversion"/>
  </si>
  <si>
    <t>AE1150602946</t>
    <phoneticPr fontId="2" type="noConversion"/>
  </si>
  <si>
    <t>115/06/29</t>
    <phoneticPr fontId="2" type="noConversion"/>
  </si>
  <si>
    <t>AE1150602951</t>
    <phoneticPr fontId="2" type="noConversion"/>
  </si>
  <si>
    <t>2026.06.11</t>
    <phoneticPr fontId="2" type="noConversion"/>
  </si>
  <si>
    <t>6/11評選會委員交通費</t>
    <phoneticPr fontId="2" type="noConversion"/>
  </si>
  <si>
    <t>AE1150601720</t>
  </si>
  <si>
    <t>AE1150601718</t>
    <phoneticPr fontId="2" type="noConversion"/>
  </si>
  <si>
    <t>6/12評選會委員交通費</t>
    <phoneticPr fontId="2" type="noConversion"/>
  </si>
  <si>
    <t>2026.06.12</t>
    <phoneticPr fontId="2" type="noConversion"/>
  </si>
  <si>
    <t>AE1150601723</t>
    <phoneticPr fontId="2" type="noConversion"/>
  </si>
  <si>
    <t>發票開立日期</t>
    <phoneticPr fontId="2" type="noConversion"/>
  </si>
  <si>
    <t>發票號碼</t>
    <phoneticPr fontId="2" type="noConversion"/>
  </si>
  <si>
    <t>核銷案號</t>
    <phoneticPr fontId="9" type="noConversion"/>
  </si>
  <si>
    <t>單價</t>
    <phoneticPr fontId="2" type="noConversion"/>
  </si>
  <si>
    <t>資本門款項</t>
    <phoneticPr fontId="2" type="noConversion"/>
  </si>
  <si>
    <t>核銷單列印日期</t>
    <phoneticPr fontId="2" type="noConversion"/>
  </si>
  <si>
    <t>DM75893663</t>
    <phoneticPr fontId="2" type="noConversion"/>
  </si>
  <si>
    <t>品名</t>
    <phoneticPr fontId="2" type="noConversion"/>
  </si>
  <si>
    <t>加護病房設備室內定位系統建置案</t>
    <phoneticPr fontId="2" type="noConversion"/>
  </si>
  <si>
    <t>第一期</t>
    <phoneticPr fontId="2" type="noConversion"/>
  </si>
  <si>
    <t>115/07/28</t>
    <phoneticPr fontId="2" type="noConversion"/>
  </si>
  <si>
    <t>AE1150705468</t>
    <phoneticPr fontId="2" type="noConversion"/>
  </si>
  <si>
    <t>AE1150800126</t>
    <phoneticPr fontId="2" type="noConversion"/>
  </si>
  <si>
    <t>115/08/04</t>
    <phoneticPr fontId="2" type="noConversion"/>
  </si>
  <si>
    <t>DP13770704</t>
    <phoneticPr fontId="2" type="noConversion"/>
  </si>
  <si>
    <t>DP13770705</t>
  </si>
  <si>
    <t>DP13770703</t>
    <phoneticPr fontId="2" type="noConversion"/>
  </si>
  <si>
    <t>AI排班與加班預測系統採購案-簽約訂金</t>
    <phoneticPr fontId="2" type="noConversion"/>
  </si>
  <si>
    <t>AI排班與加班預測系統採購案-第一階段</t>
    <phoneticPr fontId="2" type="noConversion"/>
  </si>
  <si>
    <t>AI排班與加班預測系統採購案-第二階段</t>
    <phoneticPr fontId="2" type="noConversion"/>
  </si>
  <si>
    <t>AE1150800868</t>
    <phoneticPr fontId="2" type="noConversion"/>
  </si>
  <si>
    <t>115/08/07</t>
    <phoneticPr fontId="2" type="noConversion"/>
  </si>
  <si>
    <t>AE1150800876</t>
    <phoneticPr fontId="2" type="noConversion"/>
  </si>
  <si>
    <t>租金</t>
  </si>
  <si>
    <t>租金</t>
    <phoneticPr fontId="2" type="noConversion"/>
  </si>
  <si>
    <t>手術室智慧排成與管理系統
115.07七月核銷費用
349,167*(2/31)= 22,527元</t>
    <phoneticPr fontId="2" type="noConversion"/>
  </si>
  <si>
    <t>115/08/11</t>
    <phoneticPr fontId="2" type="noConversion"/>
  </si>
  <si>
    <t>AE1150801425</t>
    <phoneticPr fontId="2" type="noConversion"/>
  </si>
  <si>
    <t>業務費-租金款項</t>
    <phoneticPr fontId="2" type="noConversion"/>
  </si>
  <si>
    <t>DM69219420</t>
    <phoneticPr fontId="2" type="noConversion"/>
  </si>
  <si>
    <t>總計
(含稅)</t>
    <phoneticPr fontId="2" type="noConversion"/>
  </si>
  <si>
    <t>總計</t>
    <phoneticPr fontId="2" type="noConversion"/>
  </si>
  <si>
    <t>7月租金-手術智慧排程與管理系統</t>
    <phoneticPr fontId="2" type="noConversion"/>
  </si>
  <si>
    <t>AE1150801907</t>
    <phoneticPr fontId="2" type="noConversion"/>
  </si>
  <si>
    <t>115/08/14</t>
    <phoneticPr fontId="2" type="noConversion"/>
  </si>
  <si>
    <t>7/28ERP系統會議
宛臻學姊實際支出782
可沖帳1458</t>
    <phoneticPr fontId="2" type="noConversion"/>
  </si>
  <si>
    <t>國內旅費</t>
  </si>
  <si>
    <t>國內旅費</t>
    <phoneticPr fontId="2" type="noConversion"/>
  </si>
  <si>
    <t>3/26陳懷恩委員台北台中來回高鐵費</t>
    <phoneticPr fontId="2" type="noConversion"/>
  </si>
  <si>
    <t>6/11陳懷恩委員台北台中來回高鐵費</t>
    <phoneticPr fontId="2" type="noConversion"/>
  </si>
  <si>
    <t>6/12陳懷恩委員台北台中來回高鐵費</t>
    <phoneticPr fontId="2" type="noConversion"/>
  </si>
  <si>
    <t>AE1150801846</t>
    <phoneticPr fontId="2" type="noConversion"/>
  </si>
  <si>
    <t>AE1150801852</t>
    <phoneticPr fontId="2" type="noConversion"/>
  </si>
  <si>
    <t>AE1150801855</t>
    <phoneticPr fontId="2" type="noConversion"/>
  </si>
  <si>
    <t>115/08/18</t>
    <phoneticPr fontId="2" type="noConversion"/>
  </si>
  <si>
    <t>AE1150802083</t>
    <phoneticPr fontId="2" type="noConversion"/>
  </si>
  <si>
    <t>AE1150802085</t>
    <phoneticPr fontId="2" type="noConversion"/>
  </si>
  <si>
    <t>ERP財務系統討論會
宛臻學姊實際支出450
可沖帳950</t>
    <phoneticPr fontId="2" type="noConversion"/>
  </si>
  <si>
    <t>ERP財務/庫房系統討論會
宛臻學姊實際支出540
可沖帳1000</t>
    <phoneticPr fontId="2" type="noConversion"/>
  </si>
  <si>
    <t>DM69219437</t>
    <phoneticPr fontId="2" type="noConversion"/>
  </si>
  <si>
    <t>8月租金-手術智慧排程與管理系統</t>
    <phoneticPr fontId="2" type="noConversion"/>
  </si>
  <si>
    <t>115/08/25</t>
    <phoneticPr fontId="2" type="noConversion"/>
  </si>
  <si>
    <t>AE1150802459</t>
    <phoneticPr fontId="2" type="noConversion"/>
  </si>
  <si>
    <t>預算金額 (A)</t>
    <phoneticPr fontId="2" type="noConversion"/>
  </si>
  <si>
    <t>會計核銷科目</t>
    <phoneticPr fontId="2" type="noConversion"/>
  </si>
  <si>
    <t>待沖帳</t>
  </si>
  <si>
    <t>代墊款</t>
  </si>
  <si>
    <t>實際購買品項</t>
    <phoneticPr fontId="2" type="noConversion"/>
  </si>
  <si>
    <t>代墊 / 借支人員</t>
    <phoneticPr fontId="2" type="noConversion"/>
  </si>
  <si>
    <t>還款狀態</t>
    <phoneticPr fontId="2" type="noConversion"/>
  </si>
  <si>
    <t>洪郁涵</t>
  </si>
  <si>
    <t>V</t>
    <phoneticPr fontId="2" type="noConversion"/>
  </si>
  <si>
    <t>科室借款</t>
    <phoneticPr fontId="2" type="noConversion"/>
  </si>
  <si>
    <t>採購案討論會議飲料</t>
    <phoneticPr fontId="2" type="noConversion"/>
  </si>
  <si>
    <t>張久大</t>
    <phoneticPr fontId="2" type="noConversion"/>
  </si>
  <si>
    <t>採購評選會咖啡</t>
    <phoneticPr fontId="2" type="noConversion"/>
  </si>
  <si>
    <t>何承翰</t>
    <phoneticPr fontId="2" type="noConversion"/>
  </si>
  <si>
    <t>審查會前會飲料</t>
    <phoneticPr fontId="2" type="noConversion"/>
  </si>
  <si>
    <t>王喻萱</t>
    <phoneticPr fontId="2" type="noConversion"/>
  </si>
  <si>
    <t>ERP審查會出席費</t>
    <phoneticPr fontId="2" type="noConversion"/>
  </si>
  <si>
    <t>審查會咖啡</t>
    <phoneticPr fontId="2" type="noConversion"/>
  </si>
  <si>
    <t>第7次執行會議便當
4/8:1106+5/15:1152+35</t>
    <phoneticPr fontId="2" type="noConversion"/>
  </si>
  <si>
    <t>代墊還款</t>
  </si>
  <si>
    <t>咖啡禮盒(4.30)</t>
    <phoneticPr fontId="2" type="noConversion"/>
  </si>
  <si>
    <t>林孟蓁A10489</t>
  </si>
  <si>
    <t>禮遇貴人(4.30)</t>
    <phoneticPr fontId="2" type="noConversion"/>
  </si>
  <si>
    <t>還總務室林孟蓁</t>
    <phoneticPr fontId="2" type="noConversion"/>
  </si>
  <si>
    <t>沖帳用</t>
    <phoneticPr fontId="2" type="noConversion"/>
  </si>
  <si>
    <t>審查委員端午禮品</t>
    <phoneticPr fontId="2" type="noConversion"/>
  </si>
  <si>
    <t>小組會議飲料(可不可紅茶)</t>
    <phoneticPr fontId="2" type="noConversion"/>
  </si>
  <si>
    <t>第9次小組會議飲料(Lin La)</t>
    <phoneticPr fontId="2" type="noConversion"/>
  </si>
  <si>
    <t>第10次小組會議飲料(三月春)</t>
    <phoneticPr fontId="2" type="noConversion"/>
  </si>
  <si>
    <t>吳宛臻(實際支出782)</t>
    <phoneticPr fontId="2" type="noConversion"/>
  </si>
  <si>
    <t>陳照惠</t>
    <phoneticPr fontId="2" type="noConversion"/>
  </si>
  <si>
    <t>吳宛臻(實際支出450)</t>
    <phoneticPr fontId="2" type="noConversion"/>
  </si>
  <si>
    <t>吳宛臻(實際支出540)</t>
    <phoneticPr fontId="2" type="noConversion"/>
  </si>
  <si>
    <t>小組會議飲料(星巴克)</t>
    <phoneticPr fontId="2" type="noConversion"/>
  </si>
  <si>
    <t>田智蓉</t>
    <phoneticPr fontId="2" type="noConversion"/>
  </si>
  <si>
    <t>剩餘</t>
    <phoneticPr fontId="2" type="noConversion"/>
  </si>
  <si>
    <t>已沖帳</t>
    <phoneticPr fontId="2" type="noConversion"/>
  </si>
  <si>
    <t>待沖帳金額</t>
    <phoneticPr fontId="2" type="noConversion"/>
  </si>
  <si>
    <t>利用餐費沖帳核銷</t>
    <phoneticPr fontId="2" type="noConversion"/>
  </si>
  <si>
    <t>簽約訂金</t>
    <phoneticPr fontId="2" type="noConversion"/>
  </si>
  <si>
    <t>第一階段</t>
    <phoneticPr fontId="2" type="noConversion"/>
  </si>
  <si>
    <t>第二階段</t>
    <phoneticPr fontId="2" type="noConversion"/>
  </si>
  <si>
    <t>可沖帳額度</t>
    <phoneticPr fontId="2" type="noConversion"/>
  </si>
  <si>
    <t>實際支出</t>
    <phoneticPr fontId="2" type="noConversion"/>
  </si>
  <si>
    <t>核銷總額</t>
    <phoneticPr fontId="2" type="noConversion"/>
  </si>
  <si>
    <t>文具用品</t>
    <phoneticPr fontId="2" type="noConversion"/>
  </si>
  <si>
    <t>115/09/24</t>
    <phoneticPr fontId="2" type="noConversion"/>
  </si>
  <si>
    <t>AE1150902273</t>
    <phoneticPr fontId="2" type="noConversion"/>
  </si>
  <si>
    <t>鄭雅靜副主任會議便當費(素食)</t>
    <phoneticPr fontId="2" type="noConversion"/>
  </si>
  <si>
    <t>小組會議便當(石蜜園)</t>
    <phoneticPr fontId="2" type="noConversion"/>
  </si>
  <si>
    <t>業務費-人事費</t>
    <phoneticPr fontId="2" type="noConversion"/>
  </si>
  <si>
    <t>研究助理3月薪資</t>
    <phoneticPr fontId="2" type="noConversion"/>
  </si>
  <si>
    <t>研究助理4月薪資</t>
  </si>
  <si>
    <t>研究助理5月薪資</t>
  </si>
  <si>
    <t>研究助理6月薪資</t>
  </si>
  <si>
    <t>研究助理7月薪資</t>
  </si>
  <si>
    <t>研究助理8月薪資</t>
  </si>
  <si>
    <t>研究助理9月薪資</t>
  </si>
  <si>
    <t>研究助理6月三節獎金</t>
    <phoneticPr fontId="2" type="noConversion"/>
  </si>
  <si>
    <t>還9/1田智蓉代墊款</t>
    <phoneticPr fontId="2" type="noConversion"/>
  </si>
  <si>
    <t>AE1151001696</t>
    <phoneticPr fontId="2" type="noConversion"/>
  </si>
  <si>
    <t>AE1151001693</t>
    <phoneticPr fontId="2" type="noConversion"/>
  </si>
  <si>
    <t>115/10/07</t>
    <phoneticPr fontId="2" type="noConversion"/>
  </si>
  <si>
    <t>FR24777851</t>
    <phoneticPr fontId="2" type="noConversion"/>
  </si>
  <si>
    <t>AI排班與加班預測系統採購案-第三階段(尾款)</t>
    <phoneticPr fontId="2" type="noConversion"/>
  </si>
  <si>
    <t>115/10/13</t>
    <phoneticPr fontId="2" type="noConversion"/>
  </si>
  <si>
    <t>AE1151002157</t>
    <phoneticPr fontId="2" type="noConversion"/>
  </si>
  <si>
    <t>第三階段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</si>
</sst>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%"/>
    <numFmt numFmtId="177" formatCode="m&quot;月&quot;d&quot;日&quot;"/>
    <numFmt numFmtId="178" formatCode="_-* #,##0_-;\-* #,##0_-;_-* &quot;-&quot;??_-;_-@_-"/>
  </numFmts>
  <fonts count="2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1F1F1F"/>
      <name val="Microsoft JhengHei Light"/>
      <family val="2"/>
      <charset val="136"/>
    </font>
    <font>
      <sz val="12"/>
      <color rgb="FF1F1F1F"/>
      <name val="Microsoft JhengHei Light"/>
      <family val="2"/>
      <charset val="136"/>
    </font>
    <font>
      <sz val="12"/>
      <color theme="1"/>
      <name val="Microsoft JhengHei Light"/>
      <family val="2"/>
      <charset val="136"/>
    </font>
    <font>
      <sz val="12"/>
      <color theme="1"/>
      <name val="新細明體"/>
      <family val="2"/>
      <charset val="136"/>
    </font>
    <font>
      <b/>
      <sz val="18"/>
      <color rgb="FF1F1F1F"/>
      <name val="Microsoft JhengHei Light"/>
      <family val="2"/>
      <charset val="136"/>
    </font>
    <font>
      <b/>
      <sz val="18"/>
      <color rgb="FF444746"/>
      <name val="Microsoft JhengHei Light"/>
      <family val="2"/>
      <charset val="136"/>
    </font>
    <font>
      <sz val="9"/>
      <name val="新細明體"/>
      <family val="1"/>
      <charset val="136"/>
    </font>
    <font>
      <sz val="12"/>
      <name val="Microsoft JhengHei Light"/>
      <family val="2"/>
      <charset val="136"/>
    </font>
    <font>
      <b/>
      <sz val="14"/>
      <name val="Microsoft JhengHei Light"/>
      <family val="2"/>
      <charset val="136"/>
    </font>
    <font>
      <b/>
      <sz val="12"/>
      <color theme="1"/>
      <name val="Microsoft JhengHei Light"/>
      <family val="2"/>
      <charset val="136"/>
    </font>
    <font>
      <b/>
      <sz val="20"/>
      <color theme="1"/>
      <name val="Microsoft JhengHei Light"/>
      <family val="2"/>
      <charset val="136"/>
    </font>
    <font>
      <sz val="12"/>
      <name val="新細明體"/>
      <family val="2"/>
      <charset val="136"/>
      <scheme val="minor"/>
    </font>
    <font>
      <b/>
      <sz val="18"/>
      <color rgb="FFFF0000"/>
      <name val="Microsoft JhengHei Light"/>
      <family val="2"/>
      <charset val="136"/>
    </font>
    <font>
      <b/>
      <sz val="18"/>
      <name val="Microsoft JhengHei Light"/>
      <family val="2"/>
      <charset val="136"/>
    </font>
    <font>
      <b/>
      <sz val="12"/>
      <color rgb="FF1F1F1F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4"/>
      <name val="微軟正黑體"/>
      <family val="2"/>
      <charset val="136"/>
    </font>
    <font>
      <sz val="12"/>
      <name val="Microsoft JhengHei UI"/>
      <family val="2"/>
      <charset val="136"/>
    </font>
    <font>
      <sz val="12"/>
      <name val="新細明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14" fontId="3" fillId="0" borderId="1" xfId="0" applyNumberFormat="1" applyFont="1" applyBorder="1" applyAlignment="1">
      <alignment vertical="center" wrapText="1" readingOrder="1"/>
    </xf>
    <xf numFmtId="14" fontId="5" fillId="0" borderId="1" xfId="0" applyNumberFormat="1" applyFont="1" applyBorder="1">
      <alignment vertical="center"/>
    </xf>
    <xf numFmtId="14" fontId="5" fillId="0" borderId="0" xfId="0" applyNumberFormat="1" applyFont="1">
      <alignment vertical="center"/>
    </xf>
    <xf numFmtId="0" fontId="7" fillId="0" borderId="1" xfId="0" applyFont="1" applyBorder="1" applyAlignment="1">
      <alignment vertical="center" wrapText="1" readingOrder="1"/>
    </xf>
    <xf numFmtId="3" fontId="7" fillId="0" borderId="1" xfId="0" applyNumberFormat="1" applyFont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 readingOrder="1"/>
    </xf>
    <xf numFmtId="176" fontId="8" fillId="0" borderId="1" xfId="1" applyNumberFormat="1" applyFont="1" applyBorder="1" applyAlignment="1">
      <alignment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5" fillId="0" borderId="3" xfId="0" applyFont="1" applyBorder="1">
      <alignment vertical="center"/>
    </xf>
    <xf numFmtId="0" fontId="4" fillId="0" borderId="3" xfId="0" applyFont="1" applyBorder="1" applyAlignment="1">
      <alignment vertical="center" wrapText="1" readingOrder="1"/>
    </xf>
    <xf numFmtId="0" fontId="0" fillId="0" borderId="1" xfId="0" applyBorder="1">
      <alignment vertical="center"/>
    </xf>
    <xf numFmtId="0" fontId="6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12" fillId="0" borderId="0" xfId="0" applyFont="1">
      <alignment vertical="center"/>
    </xf>
    <xf numFmtId="14" fontId="3" fillId="2" borderId="1" xfId="0" applyNumberFormat="1" applyFont="1" applyFill="1" applyBorder="1" applyAlignment="1">
      <alignment vertical="center" wrapText="1" readingOrder="1"/>
    </xf>
    <xf numFmtId="0" fontId="3" fillId="2" borderId="1" xfId="0" applyFont="1" applyFill="1" applyBorder="1" applyAlignment="1">
      <alignment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3" fontId="0" fillId="0" borderId="0" xfId="0" applyNumberFormat="1">
      <alignment vertical="center"/>
    </xf>
    <xf numFmtId="3" fontId="13" fillId="0" borderId="1" xfId="0" applyNumberFormat="1" applyFont="1" applyFill="1" applyBorder="1">
      <alignment vertical="center"/>
    </xf>
    <xf numFmtId="0" fontId="14" fillId="0" borderId="1" xfId="0" applyFont="1" applyBorder="1">
      <alignment vertical="center"/>
    </xf>
    <xf numFmtId="0" fontId="0" fillId="4" borderId="0" xfId="0" applyFill="1">
      <alignment vertical="center"/>
    </xf>
    <xf numFmtId="3" fontId="15" fillId="0" borderId="1" xfId="0" applyNumberFormat="1" applyFont="1" applyBorder="1" applyAlignment="1">
      <alignment vertical="center" wrapText="1" readingOrder="1"/>
    </xf>
    <xf numFmtId="0" fontId="0" fillId="5" borderId="0" xfId="0" applyFill="1">
      <alignment vertical="center"/>
    </xf>
    <xf numFmtId="3" fontId="16" fillId="0" borderId="1" xfId="0" applyNumberFormat="1" applyFont="1" applyBorder="1" applyAlignment="1">
      <alignment vertical="center" wrapText="1" readingOrder="1"/>
    </xf>
    <xf numFmtId="0" fontId="0" fillId="0" borderId="1" xfId="0" applyBorder="1" applyAlignment="1">
      <alignment vertical="center"/>
    </xf>
    <xf numFmtId="14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8" fillId="0" borderId="0" xfId="0" applyFont="1">
      <alignment vertical="center"/>
    </xf>
    <xf numFmtId="14" fontId="17" fillId="2" borderId="1" xfId="0" applyNumberFormat="1" applyFont="1" applyFill="1" applyBorder="1" applyAlignment="1">
      <alignment vertical="center" wrapText="1" readingOrder="1"/>
    </xf>
    <xf numFmtId="0" fontId="17" fillId="2" borderId="1" xfId="0" applyFont="1" applyFill="1" applyBorder="1" applyAlignment="1">
      <alignment horizontal="center" vertical="center" wrapText="1" readingOrder="1"/>
    </xf>
    <xf numFmtId="0" fontId="19" fillId="2" borderId="1" xfId="0" applyFont="1" applyFill="1" applyBorder="1" applyAlignment="1">
      <alignment vertical="center" wrapText="1" readingOrder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0" borderId="1" xfId="2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vertical="center" wrapText="1" readingOrder="1"/>
    </xf>
    <xf numFmtId="178" fontId="0" fillId="0" borderId="1" xfId="2" applyNumberFormat="1" applyFont="1" applyBorder="1">
      <alignment vertical="center"/>
    </xf>
    <xf numFmtId="0" fontId="0" fillId="0" borderId="1" xfId="0" applyBorder="1" applyAlignment="1">
      <alignment vertical="center"/>
    </xf>
    <xf numFmtId="17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7" fillId="0" borderId="3" xfId="0" applyFont="1" applyBorder="1" applyAlignment="1">
      <alignment vertical="center" wrapText="1" readingOrder="1"/>
    </xf>
    <xf numFmtId="0" fontId="16" fillId="2" borderId="1" xfId="0" applyFont="1" applyFill="1" applyBorder="1" applyAlignment="1">
      <alignment horizontal="center" vertical="center" wrapText="1" readingOrder="1"/>
    </xf>
    <xf numFmtId="178" fontId="0" fillId="0" borderId="0" xfId="0" applyNumberFormat="1">
      <alignment vertical="center"/>
    </xf>
    <xf numFmtId="0" fontId="6" fillId="0" borderId="3" xfId="0" applyFont="1" applyBorder="1">
      <alignment vertical="center"/>
    </xf>
    <xf numFmtId="0" fontId="0" fillId="0" borderId="3" xfId="0" applyBorder="1">
      <alignment vertical="center"/>
    </xf>
    <xf numFmtId="14" fontId="10" fillId="0" borderId="1" xfId="0" applyNumberFormat="1" applyFont="1" applyBorder="1" applyAlignment="1">
      <alignment vertical="center" wrapText="1" readingOrder="1"/>
    </xf>
    <xf numFmtId="0" fontId="10" fillId="0" borderId="1" xfId="0" applyFont="1" applyBorder="1" applyAlignment="1">
      <alignment vertical="center" wrapText="1" readingOrder="1"/>
    </xf>
    <xf numFmtId="3" fontId="10" fillId="0" borderId="1" xfId="0" applyNumberFormat="1" applyFont="1" applyBorder="1" applyAlignment="1">
      <alignment vertical="center" wrapText="1" readingOrder="1"/>
    </xf>
    <xf numFmtId="0" fontId="10" fillId="0" borderId="1" xfId="0" applyFont="1" applyBorder="1">
      <alignment vertical="center"/>
    </xf>
    <xf numFmtId="14" fontId="10" fillId="0" borderId="1" xfId="0" applyNumberFormat="1" applyFont="1" applyBorder="1">
      <alignment vertical="center"/>
    </xf>
    <xf numFmtId="0" fontId="10" fillId="3" borderId="1" xfId="0" applyFont="1" applyFill="1" applyBorder="1">
      <alignment vertical="center"/>
    </xf>
    <xf numFmtId="14" fontId="10" fillId="6" borderId="1" xfId="0" applyNumberFormat="1" applyFont="1" applyFill="1" applyBorder="1">
      <alignment vertical="center"/>
    </xf>
    <xf numFmtId="0" fontId="10" fillId="6" borderId="1" xfId="0" applyFont="1" applyFill="1" applyBorder="1" applyAlignment="1">
      <alignment vertical="center" wrapText="1" readingOrder="1"/>
    </xf>
    <xf numFmtId="0" fontId="10" fillId="6" borderId="1" xfId="0" applyFont="1" applyFill="1" applyBorder="1">
      <alignment vertical="center"/>
    </xf>
    <xf numFmtId="0" fontId="14" fillId="6" borderId="1" xfId="0" applyFont="1" applyFill="1" applyBorder="1">
      <alignment vertical="center"/>
    </xf>
    <xf numFmtId="0" fontId="10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vertical="center" wrapText="1"/>
    </xf>
    <xf numFmtId="0" fontId="14" fillId="3" borderId="1" xfId="0" applyFont="1" applyFill="1" applyBorder="1">
      <alignment vertical="center"/>
    </xf>
    <xf numFmtId="0" fontId="20" fillId="0" borderId="1" xfId="0" applyFont="1" applyBorder="1">
      <alignment vertical="center"/>
    </xf>
    <xf numFmtId="177" fontId="21" fillId="0" borderId="1" xfId="0" applyNumberFormat="1" applyFont="1" applyBorder="1" applyAlignment="1">
      <alignment vertical="center" wrapText="1"/>
    </xf>
    <xf numFmtId="3" fontId="10" fillId="0" borderId="1" xfId="0" applyNumberFormat="1" applyFont="1" applyBorder="1">
      <alignment vertical="center"/>
    </xf>
    <xf numFmtId="0" fontId="21" fillId="0" borderId="1" xfId="0" applyFont="1" applyBorder="1">
      <alignment vertical="center"/>
    </xf>
    <xf numFmtId="0" fontId="14" fillId="6" borderId="1" xfId="0" applyFont="1" applyFill="1" applyBorder="1" applyAlignment="1">
      <alignment vertical="center" wrapText="1"/>
    </xf>
    <xf numFmtId="0" fontId="21" fillId="6" borderId="1" xfId="0" applyFont="1" applyFill="1" applyBorder="1" applyAlignment="1">
      <alignment vertical="center" wrapText="1"/>
    </xf>
    <xf numFmtId="0" fontId="21" fillId="6" borderId="1" xfId="0" applyFont="1" applyFill="1" applyBorder="1">
      <alignment vertical="center"/>
    </xf>
    <xf numFmtId="0" fontId="0" fillId="6" borderId="0" xfId="0" applyFill="1">
      <alignment vertical="center"/>
    </xf>
    <xf numFmtId="0" fontId="7" fillId="0" borderId="1" xfId="0" applyFont="1" applyBorder="1" applyAlignment="1">
      <alignment horizontal="center" vertical="center" wrapText="1" readingOrder="1"/>
    </xf>
    <xf numFmtId="3" fontId="7" fillId="0" borderId="1" xfId="0" applyNumberFormat="1" applyFont="1" applyBorder="1" applyAlignment="1">
      <alignment horizontal="center" vertical="center" wrapText="1" readingOrder="1"/>
    </xf>
    <xf numFmtId="3" fontId="16" fillId="0" borderId="1" xfId="0" applyNumberFormat="1" applyFont="1" applyBorder="1" applyAlignment="1">
      <alignment horizontal="center" vertical="center" wrapText="1" readingOrder="1"/>
    </xf>
    <xf numFmtId="0" fontId="0" fillId="0" borderId="1" xfId="0" applyBorder="1" applyAlignment="1">
      <alignment vertical="center"/>
    </xf>
    <xf numFmtId="14" fontId="17" fillId="2" borderId="1" xfId="0" applyNumberFormat="1" applyFont="1" applyFill="1" applyBorder="1" applyAlignment="1">
      <alignment horizontal="center" vertical="center" wrapText="1" readingOrder="1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 readingOrder="1"/>
    </xf>
    <xf numFmtId="0" fontId="7" fillId="0" borderId="3" xfId="0" applyFont="1" applyBorder="1" applyAlignment="1">
      <alignment horizontal="center" vertical="center" wrapText="1" readingOrder="1"/>
    </xf>
    <xf numFmtId="0" fontId="7" fillId="0" borderId="5" xfId="0" applyFont="1" applyBorder="1" applyAlignment="1">
      <alignment horizontal="center" vertical="center" wrapText="1" readingOrder="1"/>
    </xf>
    <xf numFmtId="0" fontId="7" fillId="0" borderId="6" xfId="0" applyFont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center" vertical="center" wrapText="1" readingOrder="1"/>
    </xf>
    <xf numFmtId="0" fontId="7" fillId="0" borderId="9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center" vertical="center" wrapText="1" readingOrder="1"/>
    </xf>
    <xf numFmtId="0" fontId="7" fillId="0" borderId="10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8" fontId="0" fillId="0" borderId="1" xfId="2" applyNumberFormat="1" applyFont="1" applyBorder="1" applyAlignment="1">
      <alignment horizontal="right" vertical="center"/>
    </xf>
  </cellXfs>
  <cellStyles count="3">
    <cellStyle name="一般" xfId="0" builtinId="0"/>
    <cellStyle name="千分位" xfId="2" builtinId="3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FB1B8-A243-4826-9C79-80F20FB00855}">
  <dimension ref="A1:I12"/>
  <sheetViews>
    <sheetView tabSelected="1" workbookViewId="0">
      <selection activeCell="C7" sqref="C7"/>
    </sheetView>
  </sheetViews>
  <sheetFormatPr defaultRowHeight="16.2"/>
  <cols>
    <col min="1" max="1" width="15.33203125" bestFit="1" customWidth="1"/>
    <col min="2" max="2" width="13.33203125" bestFit="1" customWidth="1"/>
    <col min="3" max="3" width="42.88671875" bestFit="1" customWidth="1"/>
    <col min="4" max="4" width="6" bestFit="1" customWidth="1"/>
    <col min="5" max="6" width="12.21875" bestFit="1" customWidth="1"/>
    <col min="7" max="7" width="17.77734375" bestFit="1" customWidth="1"/>
    <col min="8" max="8" width="14.77734375" bestFit="1" customWidth="1"/>
    <col min="9" max="9" width="12.77734375" bestFit="1" customWidth="1"/>
  </cols>
  <sheetData>
    <row r="1" spans="1:9" s="32" customFormat="1" ht="31.2" customHeight="1">
      <c r="A1" s="74" t="s">
        <v>141</v>
      </c>
      <c r="B1" s="74"/>
      <c r="C1" s="74"/>
      <c r="D1" s="74"/>
      <c r="E1" s="74"/>
      <c r="F1" s="74"/>
      <c r="G1" s="74"/>
      <c r="H1" s="74"/>
      <c r="I1" s="74"/>
    </row>
    <row r="2" spans="1:9" s="32" customFormat="1" ht="31.2">
      <c r="A2" s="33" t="s">
        <v>137</v>
      </c>
      <c r="B2" s="33" t="s">
        <v>138</v>
      </c>
      <c r="C2" s="33" t="s">
        <v>144</v>
      </c>
      <c r="D2" s="34" t="s">
        <v>54</v>
      </c>
      <c r="E2" s="34" t="s">
        <v>140</v>
      </c>
      <c r="F2" s="34" t="s">
        <v>167</v>
      </c>
      <c r="G2" s="34" t="s">
        <v>142</v>
      </c>
      <c r="H2" s="35" t="s">
        <v>139</v>
      </c>
      <c r="I2" s="34" t="s">
        <v>12</v>
      </c>
    </row>
    <row r="3" spans="1:9">
      <c r="A3" s="36">
        <v>46209</v>
      </c>
      <c r="B3" s="43" t="s">
        <v>143</v>
      </c>
      <c r="C3" s="37" t="s">
        <v>145</v>
      </c>
      <c r="D3" s="37">
        <v>1</v>
      </c>
      <c r="E3" s="92">
        <v>588000</v>
      </c>
      <c r="F3" s="92">
        <f>D3*E3</f>
        <v>588000</v>
      </c>
      <c r="G3" s="37" t="s">
        <v>147</v>
      </c>
      <c r="H3" s="37" t="s">
        <v>148</v>
      </c>
      <c r="I3" s="37" t="s">
        <v>146</v>
      </c>
    </row>
    <row r="4" spans="1:9">
      <c r="A4" s="36">
        <v>46231</v>
      </c>
      <c r="B4" s="43" t="s">
        <v>153</v>
      </c>
      <c r="C4" s="15" t="s">
        <v>154</v>
      </c>
      <c r="D4" s="37">
        <v>1</v>
      </c>
      <c r="E4" s="92">
        <v>1071000</v>
      </c>
      <c r="F4" s="92">
        <f t="shared" ref="F4:F7" si="0">D4*E4</f>
        <v>1071000</v>
      </c>
      <c r="G4" s="37" t="s">
        <v>150</v>
      </c>
      <c r="H4" s="90" t="s">
        <v>149</v>
      </c>
      <c r="I4" s="91" t="s">
        <v>229</v>
      </c>
    </row>
    <row r="5" spans="1:9">
      <c r="A5" s="36">
        <v>46231</v>
      </c>
      <c r="B5" s="43" t="s">
        <v>151</v>
      </c>
      <c r="C5" s="15" t="s">
        <v>155</v>
      </c>
      <c r="D5" s="37">
        <v>1</v>
      </c>
      <c r="E5" s="92">
        <v>714000</v>
      </c>
      <c r="F5" s="92">
        <f t="shared" si="0"/>
        <v>714000</v>
      </c>
      <c r="G5" s="37" t="s">
        <v>150</v>
      </c>
      <c r="H5" s="90" t="s">
        <v>149</v>
      </c>
      <c r="I5" s="37" t="s">
        <v>230</v>
      </c>
    </row>
    <row r="6" spans="1:9">
      <c r="A6" s="36">
        <v>46231</v>
      </c>
      <c r="B6" s="43" t="s">
        <v>152</v>
      </c>
      <c r="C6" s="15" t="s">
        <v>156</v>
      </c>
      <c r="D6" s="37">
        <v>1</v>
      </c>
      <c r="E6" s="92">
        <v>1071000</v>
      </c>
      <c r="F6" s="92">
        <f t="shared" si="0"/>
        <v>1071000</v>
      </c>
      <c r="G6" s="37" t="s">
        <v>150</v>
      </c>
      <c r="H6" s="90" t="s">
        <v>149</v>
      </c>
      <c r="I6" s="37" t="s">
        <v>231</v>
      </c>
    </row>
    <row r="7" spans="1:9">
      <c r="A7" s="36">
        <v>46289</v>
      </c>
      <c r="B7" s="43" t="s">
        <v>253</v>
      </c>
      <c r="C7" s="37" t="s">
        <v>254</v>
      </c>
      <c r="D7" s="37">
        <v>1</v>
      </c>
      <c r="E7" s="92">
        <v>714000</v>
      </c>
      <c r="F7" s="92">
        <f t="shared" si="0"/>
        <v>714000</v>
      </c>
      <c r="G7" s="37" t="s">
        <v>255</v>
      </c>
      <c r="H7" s="37" t="s">
        <v>256</v>
      </c>
      <c r="I7" s="37" t="s">
        <v>257</v>
      </c>
    </row>
    <row r="8" spans="1:9">
      <c r="A8" s="15"/>
      <c r="B8" s="15"/>
      <c r="C8" s="15"/>
      <c r="D8" s="15"/>
      <c r="E8" s="15"/>
      <c r="F8" s="15"/>
      <c r="G8" s="15"/>
      <c r="H8" s="15"/>
      <c r="I8" s="15"/>
    </row>
    <row r="9" spans="1:9">
      <c r="A9" s="75" t="s">
        <v>168</v>
      </c>
      <c r="B9" s="76"/>
      <c r="C9" s="76"/>
      <c r="D9" s="76"/>
      <c r="E9" s="77"/>
      <c r="F9" s="42">
        <f>SUM(F3:F8)</f>
        <v>4158000</v>
      </c>
      <c r="G9" s="75"/>
      <c r="H9" s="76"/>
      <c r="I9" s="77"/>
    </row>
    <row r="12" spans="1:9">
      <c r="F12" s="46"/>
    </row>
  </sheetData>
  <mergeCells count="3">
    <mergeCell ref="A1:I1"/>
    <mergeCell ref="A9:E9"/>
    <mergeCell ref="G9:I9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1F778-43F3-45F7-9645-40B62E64FF38}">
  <sheetPr>
    <pageSetUpPr fitToPage="1"/>
  </sheetPr>
  <dimension ref="A1:G25"/>
  <sheetViews>
    <sheetView workbookViewId="0">
      <selection activeCell="D6" sqref="D6"/>
    </sheetView>
  </sheetViews>
  <sheetFormatPr defaultRowHeight="16.2"/>
  <cols>
    <col min="1" max="2" width="15.77734375" style="1" customWidth="1"/>
    <col min="3" max="6" width="25.77734375" style="1" customWidth="1"/>
  </cols>
  <sheetData>
    <row r="1" spans="1:7" ht="46.8">
      <c r="A1" s="12" t="s">
        <v>0</v>
      </c>
      <c r="B1" s="12" t="s">
        <v>1</v>
      </c>
      <c r="C1" s="45" t="s">
        <v>190</v>
      </c>
      <c r="D1" s="12" t="s">
        <v>2</v>
      </c>
      <c r="E1" s="12" t="s">
        <v>3</v>
      </c>
      <c r="F1" s="12" t="s">
        <v>4</v>
      </c>
    </row>
    <row r="2" spans="1:7" ht="19.95" customHeight="1">
      <c r="A2" s="83" t="s">
        <v>5</v>
      </c>
      <c r="B2" s="8" t="s">
        <v>6</v>
      </c>
      <c r="C2" s="28">
        <v>130000</v>
      </c>
      <c r="D2" s="10">
        <f>SUMIF('明細表 '!B:B, B2, '明細表 '!D:D)</f>
        <v>62838</v>
      </c>
      <c r="E2" s="28">
        <f>C2-D2</f>
        <v>67162</v>
      </c>
      <c r="F2" s="11">
        <f>D2/C2</f>
        <v>0.48336923076923077</v>
      </c>
    </row>
    <row r="3" spans="1:7" ht="19.95" customHeight="1">
      <c r="A3" s="84"/>
      <c r="B3" s="8" t="s">
        <v>7</v>
      </c>
      <c r="C3" s="28">
        <v>7000</v>
      </c>
      <c r="D3" s="10">
        <f>SUMIF('明細表 '!B:B, B3, '明細表 '!D:D)</f>
        <v>6991</v>
      </c>
      <c r="E3" s="28">
        <f t="shared" ref="E3:E6" si="0">C3-D3</f>
        <v>9</v>
      </c>
      <c r="F3" s="11">
        <f t="shared" ref="F3:F8" si="1">D3/C3</f>
        <v>0.99871428571428567</v>
      </c>
    </row>
    <row r="4" spans="1:7" ht="19.95" customHeight="1">
      <c r="A4" s="84"/>
      <c r="B4" s="8" t="s">
        <v>8</v>
      </c>
      <c r="C4" s="28">
        <v>10000</v>
      </c>
      <c r="D4" s="10">
        <f>SUMIF('明細表 '!B:B, B4, '明細表 '!D:D)</f>
        <v>1525</v>
      </c>
      <c r="E4" s="28">
        <f t="shared" si="0"/>
        <v>8475</v>
      </c>
      <c r="F4" s="11">
        <f t="shared" si="1"/>
        <v>0.1525</v>
      </c>
    </row>
    <row r="5" spans="1:7" ht="23.4">
      <c r="A5" s="84"/>
      <c r="B5" s="8" t="s">
        <v>9</v>
      </c>
      <c r="C5" s="28">
        <v>20000</v>
      </c>
      <c r="D5" s="9">
        <f>SUMIF('明細表 '!B:B, B5, '明細表 '!D:D)</f>
        <v>19831</v>
      </c>
      <c r="E5" s="28">
        <f t="shared" si="0"/>
        <v>169</v>
      </c>
      <c r="F5" s="11">
        <f t="shared" si="1"/>
        <v>0.99155000000000004</v>
      </c>
    </row>
    <row r="6" spans="1:7" ht="19.95" customHeight="1">
      <c r="A6" s="84"/>
      <c r="B6" s="8" t="s">
        <v>14</v>
      </c>
      <c r="C6" s="28">
        <v>90000</v>
      </c>
      <c r="D6" s="9">
        <f>SUMIF('明細表 '!B:B, B6, '明細表 '!D:D)</f>
        <v>65000</v>
      </c>
      <c r="E6" s="28">
        <f t="shared" si="0"/>
        <v>25000</v>
      </c>
      <c r="F6" s="11">
        <f t="shared" si="1"/>
        <v>0.72222222222222221</v>
      </c>
      <c r="G6" s="22">
        <f>SUM(D5,D2)</f>
        <v>82669</v>
      </c>
    </row>
    <row r="7" spans="1:7" ht="19.95" customHeight="1">
      <c r="A7" s="85"/>
      <c r="B7" s="44" t="s">
        <v>174</v>
      </c>
      <c r="C7" s="28">
        <v>4200</v>
      </c>
      <c r="D7" s="9">
        <f>SUMIF('明細表 '!B:B, B7, '明細表 '!D:D)</f>
        <v>4200</v>
      </c>
      <c r="E7" s="28">
        <f t="shared" ref="E7" si="2">C7-D7</f>
        <v>0</v>
      </c>
      <c r="F7" s="11">
        <f t="shared" ref="F7" si="3">D7/C7</f>
        <v>1</v>
      </c>
      <c r="G7" s="22"/>
    </row>
    <row r="8" spans="1:7" ht="19.95" customHeight="1">
      <c r="A8" s="78" t="s">
        <v>10</v>
      </c>
      <c r="B8" s="79"/>
      <c r="C8" s="9">
        <f>SUM(C2:C7)</f>
        <v>261200</v>
      </c>
      <c r="D8" s="9">
        <f>SUM(D2:D7)</f>
        <v>160385</v>
      </c>
      <c r="E8" s="28">
        <f>C8-D8</f>
        <v>100815</v>
      </c>
      <c r="F8" s="11">
        <f t="shared" si="1"/>
        <v>0.61403139356814707</v>
      </c>
    </row>
    <row r="9" spans="1:7" ht="23.4" customHeight="1">
      <c r="A9" s="86" t="s">
        <v>228</v>
      </c>
      <c r="B9" s="86"/>
      <c r="C9" s="71" t="s">
        <v>227</v>
      </c>
      <c r="D9" s="71" t="s">
        <v>226</v>
      </c>
      <c r="E9" s="72" t="s">
        <v>225</v>
      </c>
      <c r="F9" s="11"/>
    </row>
    <row r="10" spans="1:7" ht="23.4">
      <c r="A10" s="86"/>
      <c r="B10" s="86"/>
      <c r="C10" s="9">
        <f>SUMIF('明細表 '!B:B, "待沖帳", '明細表 '!D:D)</f>
        <v>51128</v>
      </c>
      <c r="D10" s="9">
        <f>SUM('明細表 '!E:E)</f>
        <v>49608</v>
      </c>
      <c r="E10" s="28">
        <f>(C10-D10)</f>
        <v>1520</v>
      </c>
      <c r="F10" s="11"/>
    </row>
    <row r="11" spans="1:7" ht="19.95" customHeight="1">
      <c r="A11" s="70"/>
      <c r="B11" s="70"/>
      <c r="C11" s="9"/>
      <c r="D11" s="9"/>
      <c r="E11" s="28"/>
      <c r="F11" s="11"/>
    </row>
    <row r="12" spans="1:7" ht="19.95" customHeight="1">
      <c r="A12" s="80"/>
      <c r="B12" s="12" t="s">
        <v>55</v>
      </c>
      <c r="C12" s="12" t="s">
        <v>56</v>
      </c>
      <c r="D12" s="12" t="s">
        <v>57</v>
      </c>
      <c r="E12" s="12" t="s">
        <v>3</v>
      </c>
      <c r="F12" s="12" t="s">
        <v>72</v>
      </c>
    </row>
    <row r="13" spans="1:7" ht="31.2">
      <c r="A13" s="81"/>
      <c r="B13" s="6" t="s">
        <v>21</v>
      </c>
      <c r="C13" s="9" t="s">
        <v>20</v>
      </c>
      <c r="D13" s="9">
        <v>27000</v>
      </c>
      <c r="E13" s="2"/>
      <c r="F13" s="17" t="s">
        <v>95</v>
      </c>
    </row>
    <row r="14" spans="1:7" ht="46.8">
      <c r="A14" s="81"/>
      <c r="B14" s="6"/>
      <c r="C14" s="9" t="s">
        <v>41</v>
      </c>
      <c r="D14" s="9">
        <v>65000</v>
      </c>
      <c r="E14" s="9">
        <f>E2+E5</f>
        <v>67331</v>
      </c>
      <c r="F14" s="23">
        <f>D14-E14</f>
        <v>-2331</v>
      </c>
      <c r="G14" s="22"/>
    </row>
    <row r="15" spans="1:7" ht="46.8">
      <c r="A15" s="81"/>
      <c r="B15" s="6">
        <v>46134</v>
      </c>
      <c r="C15" s="26" t="s">
        <v>58</v>
      </c>
      <c r="D15" s="26">
        <v>20000</v>
      </c>
      <c r="E15" s="2"/>
      <c r="F15" s="17" t="s">
        <v>61</v>
      </c>
    </row>
    <row r="16" spans="1:7" ht="46.8">
      <c r="A16" s="82"/>
      <c r="B16" s="6">
        <v>46140</v>
      </c>
      <c r="C16" s="26" t="s">
        <v>58</v>
      </c>
      <c r="D16" s="26">
        <v>7500</v>
      </c>
      <c r="E16" s="2"/>
      <c r="F16" s="17" t="s">
        <v>60</v>
      </c>
    </row>
    <row r="17" spans="1:6" ht="46.8">
      <c r="A17" s="2"/>
      <c r="B17" s="6">
        <v>46157</v>
      </c>
      <c r="C17" s="28" t="s">
        <v>82</v>
      </c>
      <c r="D17" s="28">
        <v>1152</v>
      </c>
      <c r="E17" s="2"/>
      <c r="F17" s="2"/>
    </row>
    <row r="18" spans="1:6" ht="46.8">
      <c r="A18" s="2"/>
      <c r="B18" s="6">
        <v>46163</v>
      </c>
      <c r="C18" s="28" t="s">
        <v>85</v>
      </c>
      <c r="D18" s="28">
        <v>3000</v>
      </c>
      <c r="E18" s="2"/>
      <c r="F18" s="17" t="s">
        <v>86</v>
      </c>
    </row>
    <row r="19" spans="1:6" ht="46.8">
      <c r="A19" s="2"/>
      <c r="B19" s="6">
        <v>46164</v>
      </c>
      <c r="C19" s="26" t="s">
        <v>58</v>
      </c>
      <c r="D19" s="26">
        <v>5000</v>
      </c>
      <c r="E19" s="2"/>
      <c r="F19" s="17"/>
    </row>
    <row r="20" spans="1:6" ht="46.8">
      <c r="A20" s="2"/>
      <c r="B20" s="6">
        <v>46164</v>
      </c>
      <c r="C20" s="28" t="s">
        <v>89</v>
      </c>
      <c r="D20" s="28">
        <v>3300</v>
      </c>
      <c r="E20" s="2"/>
      <c r="F20" s="17" t="s">
        <v>90</v>
      </c>
    </row>
    <row r="21" spans="1:6" ht="23.4">
      <c r="A21" s="2"/>
      <c r="B21" s="6"/>
      <c r="C21" s="9" t="s">
        <v>91</v>
      </c>
      <c r="D21" s="9">
        <f>SUM(D15:D20,D13)</f>
        <v>66952</v>
      </c>
      <c r="E21" s="2"/>
      <c r="F21" s="17"/>
    </row>
    <row r="22" spans="1:6" ht="23.4">
      <c r="A22" s="2"/>
      <c r="B22" s="6"/>
      <c r="C22" s="9" t="s">
        <v>93</v>
      </c>
      <c r="D22" s="9">
        <f>SUM(D20,D18,D17,D13)-12500</f>
        <v>21952</v>
      </c>
      <c r="E22" s="2"/>
      <c r="F22" s="17"/>
    </row>
    <row r="23" spans="1:6" ht="78">
      <c r="A23" s="2"/>
      <c r="B23" s="6">
        <v>46167</v>
      </c>
      <c r="C23" s="9" t="s">
        <v>20</v>
      </c>
      <c r="D23" s="9">
        <v>19452</v>
      </c>
      <c r="E23" s="17" t="s">
        <v>102</v>
      </c>
      <c r="F23" s="17"/>
    </row>
    <row r="24" spans="1:6" ht="46.8">
      <c r="A24" s="2"/>
      <c r="B24" s="6"/>
      <c r="C24" s="9" t="s">
        <v>94</v>
      </c>
      <c r="D24" s="9">
        <f>SUM(D2,D5)</f>
        <v>82669</v>
      </c>
      <c r="E24" s="2"/>
      <c r="F24" s="17"/>
    </row>
    <row r="25" spans="1:6" ht="46.8">
      <c r="A25" s="2"/>
      <c r="B25" s="6">
        <v>46184</v>
      </c>
      <c r="C25" s="9" t="s">
        <v>58</v>
      </c>
      <c r="D25" s="9">
        <v>20000</v>
      </c>
      <c r="E25" s="2"/>
      <c r="F25" s="17"/>
    </row>
  </sheetData>
  <mergeCells count="4">
    <mergeCell ref="A8:B8"/>
    <mergeCell ref="A12:A16"/>
    <mergeCell ref="A2:A7"/>
    <mergeCell ref="A9:B10"/>
  </mergeCells>
  <phoneticPr fontId="2" type="noConversion"/>
  <conditionalFormatting sqref="F26:F1048576 F13 F1 F17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{B200D294-039E-48E4-BCD1-B9BD098FDC85}</x14:id>
        </ext>
      </extLst>
    </cfRule>
  </conditionalFormatting>
  <conditionalFormatting sqref="F15:F1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{E9A84D64-E814-42B2-AFDE-739FD8DAD399}</x14:id>
        </ext>
      </extLst>
    </cfRule>
  </conditionalFormatting>
  <conditionalFormatting sqref="F12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{5FEFAA23-F88F-4C8E-8B03-27507DD4530D}</x14:id>
        </ext>
      </extLst>
    </cfRule>
  </conditionalFormatting>
  <conditionalFormatting sqref="F1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{F3B0B344-7C65-4D0D-B3D5-8BFAA2E50F59}</x14:id>
        </ext>
      </extLst>
    </cfRule>
  </conditionalFormatting>
  <conditionalFormatting sqref="F19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{F2BA0A88-8A55-4BB1-B286-192EB4EEA614}</x14:id>
        </ext>
      </extLst>
    </cfRule>
  </conditionalFormatting>
  <conditionalFormatting sqref="F20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{FB20F8FF-CED4-4B76-88DF-381B4A2730F2}</x14:id>
        </ext>
      </extLst>
    </cfRule>
  </conditionalFormatting>
  <conditionalFormatting sqref="F22:F23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{2855B265-1632-402A-9A62-3E9BC00C3EC3}</x14:id>
        </ext>
      </extLst>
    </cfRule>
  </conditionalFormatting>
  <conditionalFormatting sqref="F24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{18DE6C00-2B84-45E3-9EE5-D7FE9C904033}</x14:id>
        </ext>
      </extLst>
    </cfRule>
  </conditionalFormatting>
  <conditionalFormatting sqref="F21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{4C8C5266-3E7D-4E1B-9D52-1DCD05A02BE5}</x14:id>
        </ext>
      </extLst>
    </cfRule>
  </conditionalFormatting>
  <conditionalFormatting sqref="F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{181ADB9C-31F1-4BAA-8ECD-FD302FDD4E4C}</x14:id>
        </ext>
      </extLst>
    </cfRule>
  </conditionalFormatting>
  <pageMargins left="0.7" right="0.7" top="0.75" bottom="0.75" header="0.3" footer="0.3"/>
  <pageSetup paperSize="9" scale="9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00D294-039E-48E4-BCD1-B9BD098FDC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F26:F1048576 F13 F1 F17</xm:sqref>
        </x14:conditionalFormatting>
        <x14:conditionalFormatting xmlns:xm="http://schemas.microsoft.com/office/excel/2006/main">
          <x14:cfRule type="dataBar" id="{E9A84D64-E814-42B2-AFDE-739FD8DAD3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F15:F16</xm:sqref>
        </x14:conditionalFormatting>
        <x14:conditionalFormatting xmlns:xm="http://schemas.microsoft.com/office/excel/2006/main">
          <x14:cfRule type="dataBar" id="{5FEFAA23-F88F-4C8E-8B03-27507DD453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F12</xm:sqref>
        </x14:conditionalFormatting>
        <x14:conditionalFormatting xmlns:xm="http://schemas.microsoft.com/office/excel/2006/main">
          <x14:cfRule type="dataBar" id="{F3B0B344-7C65-4D0D-B3D5-8BFAA2E50F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F18</xm:sqref>
        </x14:conditionalFormatting>
        <x14:conditionalFormatting xmlns:xm="http://schemas.microsoft.com/office/excel/2006/main">
          <x14:cfRule type="dataBar" id="{F2BA0A88-8A55-4BB1-B286-192EB4EEA6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F19</xm:sqref>
        </x14:conditionalFormatting>
        <x14:conditionalFormatting xmlns:xm="http://schemas.microsoft.com/office/excel/2006/main">
          <x14:cfRule type="dataBar" id="{FB20F8FF-CED4-4B76-88DF-381B4A2730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F20</xm:sqref>
        </x14:conditionalFormatting>
        <x14:conditionalFormatting xmlns:xm="http://schemas.microsoft.com/office/excel/2006/main">
          <x14:cfRule type="dataBar" id="{2855B265-1632-402A-9A62-3E9BC00C3E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F22:F23</xm:sqref>
        </x14:conditionalFormatting>
        <x14:conditionalFormatting xmlns:xm="http://schemas.microsoft.com/office/excel/2006/main">
          <x14:cfRule type="dataBar" id="{18DE6C00-2B84-45E3-9EE5-D7FE9C9040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F24</xm:sqref>
        </x14:conditionalFormatting>
        <x14:conditionalFormatting xmlns:xm="http://schemas.microsoft.com/office/excel/2006/main">
          <x14:cfRule type="dataBar" id="{4C8C5266-3E7D-4E1B-9D52-1DCD05A02B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F21</xm:sqref>
        </x14:conditionalFormatting>
        <x14:conditionalFormatting xmlns:xm="http://schemas.microsoft.com/office/excel/2006/main">
          <x14:cfRule type="dataBar" id="{181ADB9C-31F1-4BAA-8ECD-FD302FDD4E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7EA38-39D7-4602-A1BB-B46B528661DB}">
  <sheetPr>
    <pageSetUpPr fitToPage="1"/>
  </sheetPr>
  <dimension ref="A1:T100"/>
  <sheetViews>
    <sheetView zoomScaleNormal="100" workbookViewId="0">
      <pane ySplit="1" topLeftCell="A67" activePane="bottomLeft" state="frozen"/>
      <selection pane="bottomLeft" activeCell="D79" sqref="D79"/>
    </sheetView>
  </sheetViews>
  <sheetFormatPr defaultRowHeight="16.2"/>
  <cols>
    <col min="1" max="1" width="17.109375" style="7" bestFit="1" customWidth="1"/>
    <col min="2" max="2" width="13.21875" style="1" bestFit="1" customWidth="1"/>
    <col min="3" max="3" width="29" style="1" bestFit="1" customWidth="1"/>
    <col min="4" max="4" width="13.44140625" style="1" bestFit="1" customWidth="1"/>
    <col min="5" max="6" width="13.44140625" style="1" customWidth="1"/>
    <col min="7" max="7" width="23.44140625" style="1" bestFit="1" customWidth="1"/>
    <col min="8" max="9" width="13.44140625" bestFit="1" customWidth="1"/>
    <col min="10" max="10" width="15.6640625" bestFit="1" customWidth="1"/>
    <col min="11" max="11" width="17.6640625" bestFit="1" customWidth="1"/>
  </cols>
  <sheetData>
    <row r="1" spans="1:20" s="18" customFormat="1" ht="33.6">
      <c r="A1" s="19" t="s">
        <v>15</v>
      </c>
      <c r="B1" s="21" t="s">
        <v>191</v>
      </c>
      <c r="C1" s="21" t="s">
        <v>194</v>
      </c>
      <c r="D1" s="20" t="s">
        <v>234</v>
      </c>
      <c r="E1" s="39" t="s">
        <v>232</v>
      </c>
      <c r="F1" s="39" t="s">
        <v>233</v>
      </c>
      <c r="G1" s="39" t="s">
        <v>195</v>
      </c>
      <c r="H1" s="20" t="s">
        <v>34</v>
      </c>
      <c r="I1" s="20" t="s">
        <v>196</v>
      </c>
      <c r="J1" s="21" t="s">
        <v>73</v>
      </c>
      <c r="K1" s="20" t="s">
        <v>66</v>
      </c>
      <c r="L1"/>
      <c r="M1"/>
      <c r="N1"/>
      <c r="O1"/>
      <c r="P1"/>
      <c r="Q1"/>
      <c r="R1"/>
      <c r="S1"/>
      <c r="T1"/>
    </row>
    <row r="2" spans="1:20">
      <c r="A2" s="49">
        <v>46058</v>
      </c>
      <c r="B2" s="50" t="s">
        <v>9</v>
      </c>
      <c r="C2" s="50" t="s">
        <v>18</v>
      </c>
      <c r="D2" s="51">
        <f>F2+E2</f>
        <v>1241</v>
      </c>
      <c r="E2" s="51">
        <v>0</v>
      </c>
      <c r="F2" s="51">
        <v>1241</v>
      </c>
      <c r="G2" s="52" t="s">
        <v>197</v>
      </c>
      <c r="H2" s="24"/>
      <c r="I2" s="24" t="s">
        <v>198</v>
      </c>
      <c r="J2" s="24" t="s">
        <v>75</v>
      </c>
      <c r="K2" s="50" t="s">
        <v>26</v>
      </c>
    </row>
    <row r="3" spans="1:20">
      <c r="A3" s="49">
        <v>46058</v>
      </c>
      <c r="B3" s="50" t="s">
        <v>6</v>
      </c>
      <c r="C3" s="50" t="s">
        <v>19</v>
      </c>
      <c r="D3" s="51">
        <f t="shared" ref="D3:D66" si="0">F3+E3</f>
        <v>1430</v>
      </c>
      <c r="E3" s="51">
        <v>0</v>
      </c>
      <c r="F3" s="51">
        <v>1430</v>
      </c>
      <c r="G3" s="52" t="s">
        <v>197</v>
      </c>
      <c r="H3" s="24"/>
      <c r="I3" s="24" t="s">
        <v>198</v>
      </c>
      <c r="J3" s="24" t="s">
        <v>76</v>
      </c>
      <c r="K3" s="50" t="s">
        <v>25</v>
      </c>
    </row>
    <row r="4" spans="1:20">
      <c r="A4" s="49">
        <v>46106</v>
      </c>
      <c r="B4" s="50" t="s">
        <v>6</v>
      </c>
      <c r="C4" s="50" t="s">
        <v>19</v>
      </c>
      <c r="D4" s="51">
        <f t="shared" si="0"/>
        <v>1260</v>
      </c>
      <c r="E4" s="51">
        <v>0</v>
      </c>
      <c r="F4" s="50">
        <v>1260</v>
      </c>
      <c r="G4" s="50"/>
      <c r="H4" s="24"/>
      <c r="I4" s="24"/>
      <c r="J4" s="24" t="s">
        <v>77</v>
      </c>
      <c r="K4" s="50" t="s">
        <v>30</v>
      </c>
    </row>
    <row r="5" spans="1:20">
      <c r="A5" s="53">
        <v>46106</v>
      </c>
      <c r="B5" s="50" t="s">
        <v>9</v>
      </c>
      <c r="C5" s="50" t="s">
        <v>18</v>
      </c>
      <c r="D5" s="51">
        <f t="shared" si="0"/>
        <v>932</v>
      </c>
      <c r="E5" s="51">
        <v>0</v>
      </c>
      <c r="F5" s="52">
        <v>932</v>
      </c>
      <c r="G5" s="52" t="s">
        <v>199</v>
      </c>
      <c r="H5" s="24">
        <v>2192</v>
      </c>
      <c r="I5" s="24" t="s">
        <v>198</v>
      </c>
      <c r="J5" s="24" t="s">
        <v>77</v>
      </c>
      <c r="K5" s="50" t="s">
        <v>29</v>
      </c>
    </row>
    <row r="6" spans="1:20">
      <c r="A6" s="53">
        <v>46107</v>
      </c>
      <c r="B6" s="50" t="s">
        <v>9</v>
      </c>
      <c r="C6" s="52" t="s">
        <v>16</v>
      </c>
      <c r="D6" s="51">
        <f t="shared" si="0"/>
        <v>2076</v>
      </c>
      <c r="E6" s="51">
        <v>0</v>
      </c>
      <c r="F6" s="52">
        <v>2076</v>
      </c>
      <c r="G6" s="52" t="s">
        <v>199</v>
      </c>
      <c r="H6" s="24">
        <v>2076</v>
      </c>
      <c r="I6" s="24" t="s">
        <v>198</v>
      </c>
      <c r="J6" s="24" t="s">
        <v>77</v>
      </c>
      <c r="K6" s="52" t="s">
        <v>31</v>
      </c>
    </row>
    <row r="7" spans="1:20">
      <c r="A7" s="53">
        <v>46107</v>
      </c>
      <c r="B7" s="50" t="s">
        <v>23</v>
      </c>
      <c r="C7" s="52" t="s">
        <v>24</v>
      </c>
      <c r="D7" s="51">
        <f t="shared" si="0"/>
        <v>12500</v>
      </c>
      <c r="E7" s="51">
        <v>0</v>
      </c>
      <c r="F7" s="52">
        <v>12500</v>
      </c>
      <c r="G7" s="52" t="s">
        <v>199</v>
      </c>
      <c r="H7" s="24">
        <v>15000</v>
      </c>
      <c r="I7" s="24" t="s">
        <v>198</v>
      </c>
      <c r="J7" s="24" t="s">
        <v>80</v>
      </c>
      <c r="K7" s="54" t="s">
        <v>32</v>
      </c>
    </row>
    <row r="8" spans="1:20">
      <c r="A8" s="53">
        <v>46111</v>
      </c>
      <c r="B8" s="50" t="s">
        <v>6</v>
      </c>
      <c r="C8" s="50" t="s">
        <v>19</v>
      </c>
      <c r="D8" s="51">
        <f t="shared" si="0"/>
        <v>1890</v>
      </c>
      <c r="E8" s="51">
        <v>0</v>
      </c>
      <c r="F8" s="52">
        <v>1890</v>
      </c>
      <c r="G8" s="52"/>
      <c r="H8" s="24"/>
      <c r="I8" s="24"/>
      <c r="J8" s="24" t="s">
        <v>77</v>
      </c>
      <c r="K8" s="50" t="s">
        <v>33</v>
      </c>
    </row>
    <row r="9" spans="1:20">
      <c r="A9" s="53">
        <v>46111</v>
      </c>
      <c r="B9" s="50" t="s">
        <v>9</v>
      </c>
      <c r="C9" s="52" t="s">
        <v>17</v>
      </c>
      <c r="D9" s="51">
        <f t="shared" si="0"/>
        <v>910</v>
      </c>
      <c r="E9" s="51">
        <v>0</v>
      </c>
      <c r="F9" s="52">
        <v>910</v>
      </c>
      <c r="G9" s="52" t="s">
        <v>199</v>
      </c>
      <c r="H9" s="24">
        <v>2800</v>
      </c>
      <c r="I9" s="24" t="s">
        <v>198</v>
      </c>
      <c r="J9" s="24" t="s">
        <v>77</v>
      </c>
      <c r="K9" s="52" t="s">
        <v>27</v>
      </c>
    </row>
    <row r="10" spans="1:20">
      <c r="A10" s="55">
        <v>46120</v>
      </c>
      <c r="B10" s="50" t="s">
        <v>209</v>
      </c>
      <c r="C10" s="57" t="s">
        <v>17</v>
      </c>
      <c r="D10" s="51">
        <f t="shared" si="0"/>
        <v>1106</v>
      </c>
      <c r="E10" s="51">
        <v>0</v>
      </c>
      <c r="F10" s="57">
        <v>1106</v>
      </c>
      <c r="G10" s="57"/>
      <c r="H10" s="58"/>
      <c r="I10" s="58"/>
      <c r="J10" s="58"/>
      <c r="K10" s="58"/>
    </row>
    <row r="11" spans="1:20">
      <c r="A11" s="53">
        <v>46121</v>
      </c>
      <c r="B11" s="50" t="s">
        <v>9</v>
      </c>
      <c r="C11" s="52" t="s">
        <v>17</v>
      </c>
      <c r="D11" s="51">
        <f t="shared" si="0"/>
        <v>95</v>
      </c>
      <c r="E11" s="51">
        <v>0</v>
      </c>
      <c r="F11" s="52">
        <v>95</v>
      </c>
      <c r="G11" s="52"/>
      <c r="H11" s="24"/>
      <c r="I11" s="24"/>
      <c r="J11" s="24" t="s">
        <v>78</v>
      </c>
      <c r="K11" s="52" t="s">
        <v>65</v>
      </c>
    </row>
    <row r="12" spans="1:20">
      <c r="A12" s="53">
        <v>46122</v>
      </c>
      <c r="B12" s="50" t="s">
        <v>6</v>
      </c>
      <c r="C12" s="52" t="s">
        <v>22</v>
      </c>
      <c r="D12" s="51">
        <f t="shared" si="0"/>
        <v>2430</v>
      </c>
      <c r="E12" s="51">
        <v>0</v>
      </c>
      <c r="F12" s="52">
        <v>2430</v>
      </c>
      <c r="G12" s="52" t="s">
        <v>199</v>
      </c>
      <c r="H12" s="24">
        <v>3511</v>
      </c>
      <c r="I12" s="24" t="s">
        <v>198</v>
      </c>
      <c r="J12" s="24" t="s">
        <v>79</v>
      </c>
      <c r="K12" s="52" t="s">
        <v>64</v>
      </c>
    </row>
    <row r="13" spans="1:20" ht="15" customHeight="1">
      <c r="A13" s="53">
        <v>46126</v>
      </c>
      <c r="B13" s="50" t="s">
        <v>9</v>
      </c>
      <c r="C13" s="52" t="s">
        <v>17</v>
      </c>
      <c r="D13" s="51">
        <f t="shared" si="0"/>
        <v>616</v>
      </c>
      <c r="E13" s="51">
        <v>0</v>
      </c>
      <c r="F13" s="52">
        <v>616</v>
      </c>
      <c r="G13" s="52"/>
      <c r="H13" s="24"/>
      <c r="I13" s="24"/>
      <c r="J13" s="24" t="s">
        <v>77</v>
      </c>
      <c r="K13" s="52" t="s">
        <v>28</v>
      </c>
    </row>
    <row r="14" spans="1:20">
      <c r="A14" s="53">
        <v>46126</v>
      </c>
      <c r="B14" s="50" t="s">
        <v>9</v>
      </c>
      <c r="C14" s="52" t="s">
        <v>17</v>
      </c>
      <c r="D14" s="51">
        <f t="shared" si="0"/>
        <v>135</v>
      </c>
      <c r="E14" s="51">
        <v>0</v>
      </c>
      <c r="F14" s="52">
        <v>135</v>
      </c>
      <c r="G14" s="52" t="s">
        <v>199</v>
      </c>
      <c r="H14" s="24">
        <v>751</v>
      </c>
      <c r="I14" s="24" t="s">
        <v>198</v>
      </c>
      <c r="J14" s="24" t="s">
        <v>77</v>
      </c>
      <c r="K14" s="52" t="s">
        <v>28</v>
      </c>
    </row>
    <row r="15" spans="1:20">
      <c r="A15" s="53">
        <v>46134</v>
      </c>
      <c r="B15" s="50" t="s">
        <v>9</v>
      </c>
      <c r="C15" s="24" t="s">
        <v>200</v>
      </c>
      <c r="D15" s="51">
        <f t="shared" si="0"/>
        <v>1480</v>
      </c>
      <c r="E15" s="51">
        <v>0</v>
      </c>
      <c r="F15" s="52">
        <v>1480</v>
      </c>
      <c r="G15" s="52" t="s">
        <v>201</v>
      </c>
      <c r="H15" s="24"/>
      <c r="I15" s="24" t="s">
        <v>198</v>
      </c>
      <c r="J15" s="24" t="s">
        <v>74</v>
      </c>
      <c r="K15" s="59" t="s">
        <v>67</v>
      </c>
    </row>
    <row r="16" spans="1:20" ht="32.4">
      <c r="A16" s="53">
        <v>46135</v>
      </c>
      <c r="B16" s="50" t="s">
        <v>23</v>
      </c>
      <c r="C16" s="60" t="s">
        <v>96</v>
      </c>
      <c r="D16" s="51">
        <f t="shared" si="0"/>
        <v>10000</v>
      </c>
      <c r="E16" s="51">
        <v>0</v>
      </c>
      <c r="F16" s="52">
        <v>10000</v>
      </c>
      <c r="G16" s="52" t="s">
        <v>199</v>
      </c>
      <c r="H16" s="24">
        <f>SUM(H2:H14)</f>
        <v>26330</v>
      </c>
      <c r="I16" s="24" t="s">
        <v>198</v>
      </c>
      <c r="J16" s="24" t="s">
        <v>74</v>
      </c>
      <c r="K16" s="61" t="s">
        <v>62</v>
      </c>
    </row>
    <row r="17" spans="1:20" ht="32.4">
      <c r="A17" s="53">
        <v>46135</v>
      </c>
      <c r="B17" s="50" t="s">
        <v>23</v>
      </c>
      <c r="C17" s="60" t="s">
        <v>97</v>
      </c>
      <c r="D17" s="51">
        <f t="shared" si="0"/>
        <v>10000</v>
      </c>
      <c r="E17" s="51">
        <v>0</v>
      </c>
      <c r="F17" s="52">
        <v>10000</v>
      </c>
      <c r="G17" s="52" t="s">
        <v>199</v>
      </c>
      <c r="H17" s="24"/>
      <c r="I17" s="24" t="s">
        <v>198</v>
      </c>
      <c r="J17" s="24" t="s">
        <v>74</v>
      </c>
      <c r="K17" s="61" t="s">
        <v>63</v>
      </c>
    </row>
    <row r="18" spans="1:20">
      <c r="A18" s="53">
        <v>46135</v>
      </c>
      <c r="B18" s="50" t="s">
        <v>9</v>
      </c>
      <c r="C18" s="24" t="s">
        <v>202</v>
      </c>
      <c r="D18" s="51">
        <f t="shared" si="0"/>
        <v>2300</v>
      </c>
      <c r="E18" s="51">
        <v>0</v>
      </c>
      <c r="F18" s="52">
        <v>2300</v>
      </c>
      <c r="G18" s="62" t="s">
        <v>201</v>
      </c>
      <c r="H18" s="24"/>
      <c r="I18" s="24" t="s">
        <v>198</v>
      </c>
      <c r="J18" s="24" t="s">
        <v>74</v>
      </c>
      <c r="K18" s="24" t="s">
        <v>68</v>
      </c>
    </row>
    <row r="19" spans="1:20">
      <c r="A19" s="53">
        <v>46133</v>
      </c>
      <c r="B19" s="50" t="s">
        <v>8</v>
      </c>
      <c r="C19" s="52" t="s">
        <v>38</v>
      </c>
      <c r="D19" s="51">
        <f t="shared" si="0"/>
        <v>330</v>
      </c>
      <c r="E19" s="51">
        <v>0</v>
      </c>
      <c r="F19" s="52">
        <v>330</v>
      </c>
      <c r="G19" s="52" t="s">
        <v>203</v>
      </c>
      <c r="H19" s="24"/>
      <c r="I19" s="24"/>
      <c r="J19" s="24" t="s">
        <v>74</v>
      </c>
      <c r="K19" s="61" t="s">
        <v>42</v>
      </c>
    </row>
    <row r="20" spans="1:20">
      <c r="A20" s="53">
        <v>46135</v>
      </c>
      <c r="B20" s="50" t="s">
        <v>8</v>
      </c>
      <c r="C20" s="52" t="s">
        <v>37</v>
      </c>
      <c r="D20" s="51">
        <f t="shared" si="0"/>
        <v>160</v>
      </c>
      <c r="E20" s="51">
        <v>0</v>
      </c>
      <c r="F20" s="52">
        <v>160</v>
      </c>
      <c r="G20" s="52" t="s">
        <v>203</v>
      </c>
      <c r="H20" s="24"/>
      <c r="I20" s="24"/>
      <c r="J20" s="24" t="s">
        <v>74</v>
      </c>
      <c r="K20" s="61" t="s">
        <v>43</v>
      </c>
    </row>
    <row r="21" spans="1:20">
      <c r="A21" s="53">
        <v>46136</v>
      </c>
      <c r="B21" s="50" t="s">
        <v>8</v>
      </c>
      <c r="C21" s="52" t="s">
        <v>39</v>
      </c>
      <c r="D21" s="51">
        <f t="shared" si="0"/>
        <v>1035</v>
      </c>
      <c r="E21" s="51">
        <v>0</v>
      </c>
      <c r="F21" s="52">
        <v>1035</v>
      </c>
      <c r="G21" s="52" t="s">
        <v>203</v>
      </c>
      <c r="H21" s="24"/>
      <c r="I21" s="24"/>
      <c r="J21" s="24" t="s">
        <v>74</v>
      </c>
      <c r="K21" s="61" t="s">
        <v>45</v>
      </c>
    </row>
    <row r="22" spans="1:20">
      <c r="A22" s="53">
        <v>46141</v>
      </c>
      <c r="B22" s="50" t="s">
        <v>9</v>
      </c>
      <c r="C22" s="24" t="s">
        <v>204</v>
      </c>
      <c r="D22" s="51">
        <f t="shared" si="0"/>
        <v>3351</v>
      </c>
      <c r="E22" s="51">
        <v>0</v>
      </c>
      <c r="F22" s="52">
        <v>3351</v>
      </c>
      <c r="G22" s="52" t="s">
        <v>205</v>
      </c>
      <c r="H22" s="24"/>
      <c r="I22" s="24" t="s">
        <v>198</v>
      </c>
      <c r="J22" s="24" t="s">
        <v>74</v>
      </c>
      <c r="K22" s="24" t="s">
        <v>69</v>
      </c>
    </row>
    <row r="23" spans="1:20">
      <c r="A23" s="53">
        <v>46142</v>
      </c>
      <c r="B23" s="50" t="s">
        <v>23</v>
      </c>
      <c r="C23" s="24" t="s">
        <v>206</v>
      </c>
      <c r="D23" s="51">
        <f t="shared" si="0"/>
        <v>7500</v>
      </c>
      <c r="E23" s="51">
        <v>0</v>
      </c>
      <c r="F23" s="52">
        <v>7500</v>
      </c>
      <c r="G23" s="52" t="s">
        <v>199</v>
      </c>
      <c r="H23" s="24"/>
      <c r="I23" s="24" t="s">
        <v>198</v>
      </c>
      <c r="J23" s="24" t="s">
        <v>74</v>
      </c>
      <c r="K23" s="61" t="s">
        <v>59</v>
      </c>
    </row>
    <row r="24" spans="1:20">
      <c r="A24" s="53">
        <v>46142</v>
      </c>
      <c r="B24" s="50" t="s">
        <v>9</v>
      </c>
      <c r="C24" s="52" t="s">
        <v>207</v>
      </c>
      <c r="D24" s="51">
        <f t="shared" si="0"/>
        <v>2893</v>
      </c>
      <c r="E24" s="51">
        <v>0</v>
      </c>
      <c r="F24" s="52">
        <v>2893</v>
      </c>
      <c r="G24" s="52" t="s">
        <v>205</v>
      </c>
      <c r="H24" s="24"/>
      <c r="I24" s="24" t="s">
        <v>198</v>
      </c>
      <c r="J24" s="24" t="s">
        <v>74</v>
      </c>
      <c r="K24" s="24" t="s">
        <v>70</v>
      </c>
    </row>
    <row r="25" spans="1:20" ht="32.4">
      <c r="A25" s="53">
        <v>46134</v>
      </c>
      <c r="B25" s="50" t="s">
        <v>7</v>
      </c>
      <c r="C25" s="60" t="s">
        <v>98</v>
      </c>
      <c r="D25" s="51">
        <f t="shared" si="0"/>
        <v>75</v>
      </c>
      <c r="E25" s="51">
        <v>0</v>
      </c>
      <c r="F25" s="52">
        <v>75</v>
      </c>
      <c r="G25" s="52" t="s">
        <v>203</v>
      </c>
      <c r="H25" s="24"/>
      <c r="I25" s="24"/>
      <c r="J25" s="24" t="s">
        <v>74</v>
      </c>
      <c r="K25" s="61" t="s">
        <v>71</v>
      </c>
    </row>
    <row r="26" spans="1:20" ht="32.4">
      <c r="A26" s="53">
        <v>46136</v>
      </c>
      <c r="B26" s="50" t="s">
        <v>9</v>
      </c>
      <c r="C26" s="63" t="s">
        <v>99</v>
      </c>
      <c r="D26" s="51">
        <f t="shared" si="0"/>
        <v>114</v>
      </c>
      <c r="E26" s="51">
        <v>0</v>
      </c>
      <c r="F26" s="52">
        <v>114</v>
      </c>
      <c r="G26" s="52" t="s">
        <v>203</v>
      </c>
      <c r="H26" s="24"/>
      <c r="I26" s="24"/>
      <c r="J26" s="24" t="s">
        <v>74</v>
      </c>
      <c r="K26" s="24" t="s">
        <v>46</v>
      </c>
    </row>
    <row r="27" spans="1:20" ht="32.4" customHeight="1">
      <c r="A27" s="53">
        <v>46141</v>
      </c>
      <c r="B27" s="50" t="s">
        <v>9</v>
      </c>
      <c r="C27" s="63" t="s">
        <v>104</v>
      </c>
      <c r="D27" s="51">
        <f t="shared" si="0"/>
        <v>899</v>
      </c>
      <c r="E27" s="51">
        <v>0</v>
      </c>
      <c r="F27" s="52">
        <v>899</v>
      </c>
      <c r="G27" s="52" t="s">
        <v>203</v>
      </c>
      <c r="H27" s="24"/>
      <c r="I27" s="24"/>
      <c r="J27" s="24" t="s">
        <v>74</v>
      </c>
      <c r="K27" s="24" t="s">
        <v>47</v>
      </c>
    </row>
    <row r="28" spans="1:20" ht="32.4">
      <c r="A28" s="53">
        <v>46141</v>
      </c>
      <c r="B28" s="50" t="s">
        <v>7</v>
      </c>
      <c r="C28" s="63" t="s">
        <v>106</v>
      </c>
      <c r="D28" s="51">
        <f t="shared" si="0"/>
        <v>136</v>
      </c>
      <c r="E28" s="51">
        <v>0</v>
      </c>
      <c r="F28" s="52">
        <v>136</v>
      </c>
      <c r="G28" s="52" t="s">
        <v>203</v>
      </c>
      <c r="H28" s="24"/>
      <c r="I28" s="24"/>
      <c r="J28" s="24"/>
      <c r="K28" s="61" t="s">
        <v>105</v>
      </c>
    </row>
    <row r="29" spans="1:20" ht="32.4">
      <c r="A29" s="53">
        <v>46146</v>
      </c>
      <c r="B29" s="50" t="s">
        <v>7</v>
      </c>
      <c r="C29" s="63" t="s">
        <v>100</v>
      </c>
      <c r="D29" s="51">
        <f t="shared" si="0"/>
        <v>4813</v>
      </c>
      <c r="E29" s="51">
        <v>0</v>
      </c>
      <c r="F29" s="52">
        <v>4813</v>
      </c>
      <c r="G29" s="52" t="s">
        <v>203</v>
      </c>
      <c r="H29" s="24"/>
      <c r="I29" s="24"/>
      <c r="J29" s="24" t="s">
        <v>81</v>
      </c>
      <c r="K29" s="61" t="s">
        <v>53</v>
      </c>
    </row>
    <row r="30" spans="1:20" s="25" customFormat="1">
      <c r="A30" s="55">
        <v>46157</v>
      </c>
      <c r="B30" s="50" t="s">
        <v>209</v>
      </c>
      <c r="C30" s="57" t="s">
        <v>17</v>
      </c>
      <c r="D30" s="51">
        <f t="shared" si="0"/>
        <v>1152</v>
      </c>
      <c r="E30" s="51">
        <v>0</v>
      </c>
      <c r="F30" s="57">
        <v>1152</v>
      </c>
      <c r="G30" s="57" t="s">
        <v>199</v>
      </c>
      <c r="H30" s="58"/>
      <c r="I30" s="58" t="s">
        <v>198</v>
      </c>
      <c r="J30" s="58"/>
      <c r="K30" s="58"/>
      <c r="L30"/>
      <c r="M30"/>
      <c r="N30"/>
      <c r="O30"/>
      <c r="P30"/>
      <c r="Q30"/>
      <c r="R30"/>
      <c r="S30"/>
      <c r="T30"/>
    </row>
    <row r="31" spans="1:20" ht="32.4">
      <c r="A31" s="53">
        <v>46157</v>
      </c>
      <c r="B31" s="50" t="s">
        <v>6</v>
      </c>
      <c r="C31" s="60" t="s">
        <v>208</v>
      </c>
      <c r="D31" s="51">
        <f t="shared" si="0"/>
        <v>2293</v>
      </c>
      <c r="E31" s="51">
        <v>0</v>
      </c>
      <c r="F31" s="52">
        <v>2293</v>
      </c>
      <c r="G31" s="52" t="s">
        <v>205</v>
      </c>
      <c r="H31" s="24"/>
      <c r="I31" s="24" t="s">
        <v>198</v>
      </c>
      <c r="J31" s="24" t="s">
        <v>84</v>
      </c>
      <c r="K31" s="24" t="s">
        <v>83</v>
      </c>
    </row>
    <row r="32" spans="1:20">
      <c r="A32" s="53">
        <v>46163</v>
      </c>
      <c r="B32" s="50" t="s">
        <v>6</v>
      </c>
      <c r="C32" s="24" t="s">
        <v>87</v>
      </c>
      <c r="D32" s="51">
        <f t="shared" si="0"/>
        <v>2155</v>
      </c>
      <c r="E32" s="51">
        <v>0</v>
      </c>
      <c r="F32" s="52">
        <v>2155</v>
      </c>
      <c r="G32" s="52"/>
      <c r="H32" s="24"/>
      <c r="I32" s="24"/>
      <c r="J32" s="24" t="s">
        <v>108</v>
      </c>
      <c r="K32" s="24" t="s">
        <v>111</v>
      </c>
    </row>
    <row r="33" spans="1:20" s="27" customFormat="1">
      <c r="A33" s="55">
        <v>46163</v>
      </c>
      <c r="B33" s="56" t="s">
        <v>192</v>
      </c>
      <c r="C33" s="58" t="s">
        <v>88</v>
      </c>
      <c r="D33" s="51">
        <f t="shared" si="0"/>
        <v>839</v>
      </c>
      <c r="E33" s="51">
        <v>0</v>
      </c>
      <c r="F33" s="57">
        <v>839</v>
      </c>
      <c r="G33" s="57"/>
      <c r="H33" s="58"/>
      <c r="I33" s="58"/>
      <c r="J33" s="58"/>
      <c r="K33" s="58"/>
      <c r="L33"/>
      <c r="M33"/>
      <c r="N33"/>
      <c r="O33"/>
      <c r="P33"/>
      <c r="Q33"/>
      <c r="R33"/>
      <c r="S33"/>
      <c r="T33"/>
    </row>
    <row r="34" spans="1:20">
      <c r="A34" s="55">
        <v>46164</v>
      </c>
      <c r="B34" s="56" t="s">
        <v>9</v>
      </c>
      <c r="C34" s="57" t="s">
        <v>35</v>
      </c>
      <c r="D34" s="51">
        <f t="shared" si="0"/>
        <v>2789</v>
      </c>
      <c r="E34" s="51">
        <v>0</v>
      </c>
      <c r="F34" s="57">
        <v>2789</v>
      </c>
      <c r="G34" s="57" t="s">
        <v>205</v>
      </c>
      <c r="H34" s="58"/>
      <c r="I34" s="58" t="s">
        <v>198</v>
      </c>
      <c r="J34" s="58" t="s">
        <v>108</v>
      </c>
      <c r="K34" s="58" t="s">
        <v>107</v>
      </c>
    </row>
    <row r="35" spans="1:20" s="27" customFormat="1">
      <c r="A35" s="55">
        <v>46164</v>
      </c>
      <c r="B35" s="56" t="s">
        <v>192</v>
      </c>
      <c r="C35" s="58" t="s">
        <v>92</v>
      </c>
      <c r="D35" s="51">
        <f t="shared" si="0"/>
        <v>3300</v>
      </c>
      <c r="E35" s="51">
        <v>0</v>
      </c>
      <c r="F35" s="57">
        <v>3300</v>
      </c>
      <c r="G35" s="57"/>
      <c r="H35" s="58"/>
      <c r="I35" s="58"/>
      <c r="J35" s="58"/>
      <c r="K35" s="58"/>
      <c r="L35"/>
      <c r="M35"/>
      <c r="N35"/>
      <c r="O35"/>
      <c r="P35"/>
      <c r="Q35"/>
      <c r="R35"/>
      <c r="S35"/>
      <c r="T35"/>
    </row>
    <row r="36" spans="1:20" ht="32.4">
      <c r="A36" s="53">
        <v>46164</v>
      </c>
      <c r="B36" s="50" t="s">
        <v>23</v>
      </c>
      <c r="C36" s="60" t="s">
        <v>110</v>
      </c>
      <c r="D36" s="51">
        <f t="shared" si="0"/>
        <v>5000</v>
      </c>
      <c r="E36" s="51">
        <v>0</v>
      </c>
      <c r="F36" s="52">
        <v>5000</v>
      </c>
      <c r="G36" s="52" t="s">
        <v>199</v>
      </c>
      <c r="H36" s="24"/>
      <c r="I36" s="24" t="s">
        <v>198</v>
      </c>
      <c r="J36" s="24" t="s">
        <v>108</v>
      </c>
      <c r="K36" s="61" t="s">
        <v>109</v>
      </c>
    </row>
    <row r="37" spans="1:20">
      <c r="A37" s="53">
        <v>46167</v>
      </c>
      <c r="B37" s="50" t="s">
        <v>209</v>
      </c>
      <c r="C37" s="24" t="s">
        <v>101</v>
      </c>
      <c r="D37" s="51">
        <f t="shared" si="0"/>
        <v>-9068</v>
      </c>
      <c r="E37" s="51">
        <v>0</v>
      </c>
      <c r="F37" s="64">
        <v>-9068</v>
      </c>
      <c r="G37" s="64"/>
      <c r="H37" s="24"/>
      <c r="I37" s="24" t="s">
        <v>198</v>
      </c>
      <c r="J37" s="24"/>
      <c r="K37" s="24"/>
    </row>
    <row r="38" spans="1:20">
      <c r="A38" s="53">
        <v>46167</v>
      </c>
      <c r="B38" s="50" t="s">
        <v>209</v>
      </c>
      <c r="C38" s="65" t="s">
        <v>20</v>
      </c>
      <c r="D38" s="51">
        <f t="shared" si="0"/>
        <v>-19452</v>
      </c>
      <c r="E38" s="51">
        <v>0</v>
      </c>
      <c r="F38" s="52">
        <v>-19452</v>
      </c>
      <c r="G38" s="52"/>
      <c r="H38" s="24"/>
      <c r="I38" s="24" t="s">
        <v>198</v>
      </c>
      <c r="J38" s="24"/>
      <c r="K38" s="24"/>
    </row>
    <row r="39" spans="1:20">
      <c r="A39" s="53">
        <v>46168</v>
      </c>
      <c r="B39" s="50" t="s">
        <v>209</v>
      </c>
      <c r="C39" s="24" t="s">
        <v>103</v>
      </c>
      <c r="D39" s="51">
        <f t="shared" si="0"/>
        <v>-3780</v>
      </c>
      <c r="E39" s="51">
        <v>0</v>
      </c>
      <c r="F39" s="52">
        <v>-3780</v>
      </c>
      <c r="G39" s="52"/>
      <c r="H39" s="24"/>
      <c r="I39" s="24" t="s">
        <v>198</v>
      </c>
      <c r="J39" s="24"/>
      <c r="K39" s="24"/>
    </row>
    <row r="40" spans="1:20" s="27" customFormat="1">
      <c r="A40" s="55">
        <v>46169</v>
      </c>
      <c r="B40" s="56" t="s">
        <v>192</v>
      </c>
      <c r="C40" s="66" t="s">
        <v>210</v>
      </c>
      <c r="D40" s="51">
        <f t="shared" si="0"/>
        <v>5460</v>
      </c>
      <c r="E40" s="51">
        <v>0</v>
      </c>
      <c r="F40" s="57">
        <v>5460</v>
      </c>
      <c r="G40" s="57" t="s">
        <v>211</v>
      </c>
      <c r="H40" s="58"/>
      <c r="I40" s="58" t="s">
        <v>198</v>
      </c>
      <c r="J40" s="58"/>
      <c r="K40" s="58"/>
      <c r="L40"/>
      <c r="M40"/>
      <c r="N40"/>
      <c r="O40"/>
      <c r="P40"/>
      <c r="Q40"/>
      <c r="R40"/>
      <c r="S40"/>
      <c r="T40"/>
    </row>
    <row r="41" spans="1:20" s="27" customFormat="1">
      <c r="A41" s="55">
        <v>46169</v>
      </c>
      <c r="B41" s="56" t="s">
        <v>192</v>
      </c>
      <c r="C41" s="66" t="s">
        <v>212</v>
      </c>
      <c r="D41" s="51">
        <f t="shared" si="0"/>
        <v>2160</v>
      </c>
      <c r="E41" s="51">
        <v>0</v>
      </c>
      <c r="F41" s="57">
        <v>2160</v>
      </c>
      <c r="G41" s="57" t="s">
        <v>211</v>
      </c>
      <c r="H41" s="58"/>
      <c r="I41" s="58" t="s">
        <v>198</v>
      </c>
      <c r="J41" s="58"/>
      <c r="K41" s="58"/>
      <c r="L41"/>
      <c r="M41"/>
      <c r="N41"/>
      <c r="O41"/>
      <c r="P41"/>
      <c r="Q41"/>
      <c r="R41"/>
      <c r="S41"/>
      <c r="T41"/>
    </row>
    <row r="42" spans="1:20" s="27" customFormat="1">
      <c r="A42" s="55">
        <v>46169</v>
      </c>
      <c r="B42" s="56" t="s">
        <v>209</v>
      </c>
      <c r="C42" s="66" t="s">
        <v>213</v>
      </c>
      <c r="D42" s="51">
        <f t="shared" si="0"/>
        <v>7620</v>
      </c>
      <c r="E42" s="51">
        <v>0</v>
      </c>
      <c r="F42" s="57">
        <v>7620</v>
      </c>
      <c r="G42" s="57"/>
      <c r="H42" s="58"/>
      <c r="I42" s="58"/>
      <c r="J42" s="58"/>
      <c r="K42" s="58"/>
      <c r="L42"/>
      <c r="M42"/>
      <c r="N42"/>
      <c r="O42"/>
      <c r="P42"/>
      <c r="Q42"/>
      <c r="R42"/>
      <c r="S42"/>
      <c r="T42"/>
    </row>
    <row r="43" spans="1:20">
      <c r="A43" s="53">
        <v>46163</v>
      </c>
      <c r="B43" s="50" t="s">
        <v>6</v>
      </c>
      <c r="C43" s="24" t="s">
        <v>214</v>
      </c>
      <c r="D43" s="51">
        <f t="shared" si="0"/>
        <v>1680</v>
      </c>
      <c r="E43" s="52">
        <v>1680</v>
      </c>
      <c r="F43" s="52">
        <v>0</v>
      </c>
      <c r="G43" s="52"/>
      <c r="H43" s="24"/>
      <c r="I43" s="24"/>
      <c r="J43" s="24" t="s">
        <v>113</v>
      </c>
      <c r="K43" s="24" t="s">
        <v>112</v>
      </c>
    </row>
    <row r="44" spans="1:20">
      <c r="A44" s="53">
        <v>46169</v>
      </c>
      <c r="B44" s="50" t="s">
        <v>6</v>
      </c>
      <c r="C44" s="24" t="s">
        <v>214</v>
      </c>
      <c r="D44" s="51">
        <f t="shared" si="0"/>
        <v>1680</v>
      </c>
      <c r="E44" s="52">
        <v>1680</v>
      </c>
      <c r="F44" s="52">
        <v>0</v>
      </c>
      <c r="G44" s="52"/>
      <c r="H44" s="24"/>
      <c r="I44" s="24"/>
      <c r="J44" s="24" t="s">
        <v>113</v>
      </c>
      <c r="K44" s="24" t="s">
        <v>114</v>
      </c>
    </row>
    <row r="45" spans="1:20">
      <c r="A45" s="53">
        <v>46181</v>
      </c>
      <c r="B45" s="50" t="s">
        <v>7</v>
      </c>
      <c r="C45" s="65" t="s">
        <v>115</v>
      </c>
      <c r="D45" s="51">
        <f t="shared" si="0"/>
        <v>704</v>
      </c>
      <c r="E45" s="52">
        <v>0</v>
      </c>
      <c r="F45" s="52">
        <v>704</v>
      </c>
      <c r="G45" s="52"/>
      <c r="H45" s="24"/>
      <c r="I45" s="24"/>
      <c r="J45" s="87" t="s">
        <v>117</v>
      </c>
      <c r="K45" s="88" t="s">
        <v>116</v>
      </c>
    </row>
    <row r="46" spans="1:20">
      <c r="A46" s="53">
        <v>46181</v>
      </c>
      <c r="B46" s="50" t="s">
        <v>7</v>
      </c>
      <c r="C46" s="65" t="s">
        <v>115</v>
      </c>
      <c r="D46" s="51">
        <f t="shared" si="0"/>
        <v>340</v>
      </c>
      <c r="E46" s="52">
        <v>0</v>
      </c>
      <c r="F46" s="52">
        <v>340</v>
      </c>
      <c r="G46" s="52"/>
      <c r="H46" s="24"/>
      <c r="I46" s="24"/>
      <c r="J46" s="87"/>
      <c r="K46" s="88"/>
    </row>
    <row r="47" spans="1:20">
      <c r="A47" s="55">
        <v>46184</v>
      </c>
      <c r="B47" s="56" t="s">
        <v>192</v>
      </c>
      <c r="C47" s="67" t="s">
        <v>215</v>
      </c>
      <c r="D47" s="51">
        <f t="shared" si="0"/>
        <v>23380</v>
      </c>
      <c r="E47" s="57">
        <v>0</v>
      </c>
      <c r="F47" s="57">
        <v>23380</v>
      </c>
      <c r="G47" s="57" t="s">
        <v>211</v>
      </c>
      <c r="H47" s="58"/>
      <c r="I47" s="58" t="s">
        <v>198</v>
      </c>
      <c r="J47" s="58"/>
      <c r="K47" s="58"/>
    </row>
    <row r="48" spans="1:20">
      <c r="A48" s="55">
        <v>46210</v>
      </c>
      <c r="B48" s="56" t="s">
        <v>209</v>
      </c>
      <c r="C48" s="66" t="s">
        <v>213</v>
      </c>
      <c r="D48" s="51">
        <f t="shared" si="0"/>
        <v>23380</v>
      </c>
      <c r="E48" s="57">
        <v>0</v>
      </c>
      <c r="F48" s="57">
        <v>23380</v>
      </c>
      <c r="G48" s="57"/>
      <c r="H48" s="58"/>
      <c r="I48" s="58" t="s">
        <v>198</v>
      </c>
      <c r="J48" s="58"/>
      <c r="K48" s="58"/>
    </row>
    <row r="49" spans="1:11" ht="64.8">
      <c r="A49" s="55">
        <v>46184</v>
      </c>
      <c r="B49" s="56" t="s">
        <v>192</v>
      </c>
      <c r="C49" s="66" t="s">
        <v>125</v>
      </c>
      <c r="D49" s="51">
        <f t="shared" si="0"/>
        <v>595</v>
      </c>
      <c r="E49" s="57">
        <v>0</v>
      </c>
      <c r="F49" s="57">
        <v>595</v>
      </c>
      <c r="G49" s="57" t="s">
        <v>205</v>
      </c>
      <c r="H49" s="58"/>
      <c r="I49" s="58" t="s">
        <v>198</v>
      </c>
      <c r="J49" s="58"/>
      <c r="K49" s="58"/>
    </row>
    <row r="50" spans="1:11" ht="32.4">
      <c r="A50" s="53">
        <v>46184</v>
      </c>
      <c r="B50" s="50" t="s">
        <v>23</v>
      </c>
      <c r="C50" s="60" t="s">
        <v>121</v>
      </c>
      <c r="D50" s="51">
        <f t="shared" si="0"/>
        <v>10000</v>
      </c>
      <c r="E50" s="52">
        <v>0</v>
      </c>
      <c r="F50" s="52">
        <v>10000</v>
      </c>
      <c r="G50" s="52" t="s">
        <v>199</v>
      </c>
      <c r="H50" s="24"/>
      <c r="I50" s="24" t="s">
        <v>198</v>
      </c>
      <c r="J50" s="24" t="s">
        <v>119</v>
      </c>
      <c r="K50" s="24" t="s">
        <v>118</v>
      </c>
    </row>
    <row r="51" spans="1:11" ht="32.4">
      <c r="A51" s="53">
        <v>46184</v>
      </c>
      <c r="B51" s="50" t="s">
        <v>23</v>
      </c>
      <c r="C51" s="60" t="s">
        <v>122</v>
      </c>
      <c r="D51" s="51">
        <f t="shared" si="0"/>
        <v>10000</v>
      </c>
      <c r="E51" s="52">
        <v>0</v>
      </c>
      <c r="F51" s="52">
        <v>10000</v>
      </c>
      <c r="G51" s="52" t="s">
        <v>199</v>
      </c>
      <c r="H51" s="24"/>
      <c r="I51" s="24" t="s">
        <v>198</v>
      </c>
      <c r="J51" s="24" t="s">
        <v>119</v>
      </c>
      <c r="K51" s="24" t="s">
        <v>120</v>
      </c>
    </row>
    <row r="52" spans="1:11">
      <c r="A52" s="53">
        <v>46183</v>
      </c>
      <c r="B52" s="50" t="s">
        <v>6</v>
      </c>
      <c r="C52" s="24" t="s">
        <v>214</v>
      </c>
      <c r="D52" s="51">
        <f t="shared" si="0"/>
        <v>3080</v>
      </c>
      <c r="E52" s="52">
        <v>3080</v>
      </c>
      <c r="F52" s="52">
        <v>0</v>
      </c>
      <c r="G52" s="52"/>
      <c r="H52" s="24"/>
      <c r="I52" s="24"/>
      <c r="J52" s="24" t="s">
        <v>119</v>
      </c>
      <c r="K52" s="24" t="s">
        <v>123</v>
      </c>
    </row>
    <row r="53" spans="1:11">
      <c r="A53" s="53">
        <v>46183</v>
      </c>
      <c r="B53" s="50" t="s">
        <v>6</v>
      </c>
      <c r="C53" s="24" t="s">
        <v>214</v>
      </c>
      <c r="D53" s="51">
        <f t="shared" si="0"/>
        <v>2940</v>
      </c>
      <c r="E53" s="52">
        <v>2940</v>
      </c>
      <c r="F53" s="52">
        <v>0</v>
      </c>
      <c r="G53" s="52"/>
      <c r="H53" s="24"/>
      <c r="I53" s="24"/>
      <c r="J53" s="24" t="s">
        <v>119</v>
      </c>
      <c r="K53" s="24" t="s">
        <v>124</v>
      </c>
    </row>
    <row r="54" spans="1:11" s="69" customFormat="1">
      <c r="A54" s="55">
        <v>46188</v>
      </c>
      <c r="B54" s="56" t="s">
        <v>192</v>
      </c>
      <c r="C54" s="68" t="s">
        <v>216</v>
      </c>
      <c r="D54" s="51">
        <f t="shared" si="0"/>
        <v>1125</v>
      </c>
      <c r="E54" s="51">
        <v>0</v>
      </c>
      <c r="F54" s="57">
        <v>1125</v>
      </c>
      <c r="G54" s="57"/>
      <c r="H54" s="58"/>
      <c r="I54" s="58"/>
      <c r="J54" s="58"/>
      <c r="K54" s="58"/>
    </row>
    <row r="55" spans="1:11" s="69" customFormat="1">
      <c r="A55" s="55">
        <v>46188</v>
      </c>
      <c r="B55" s="56" t="s">
        <v>6</v>
      </c>
      <c r="C55" s="24" t="s">
        <v>214</v>
      </c>
      <c r="D55" s="51">
        <f t="shared" si="0"/>
        <v>2940</v>
      </c>
      <c r="E55" s="57">
        <v>2940</v>
      </c>
      <c r="F55" s="57">
        <v>0</v>
      </c>
      <c r="G55" s="57"/>
      <c r="H55" s="58"/>
      <c r="I55" s="58"/>
      <c r="J55" s="58"/>
      <c r="K55" s="58" t="s">
        <v>126</v>
      </c>
    </row>
    <row r="56" spans="1:11" s="69" customFormat="1">
      <c r="A56" s="55">
        <v>46197</v>
      </c>
      <c r="B56" s="56" t="s">
        <v>192</v>
      </c>
      <c r="C56" s="67" t="s">
        <v>217</v>
      </c>
      <c r="D56" s="51">
        <f t="shared" si="0"/>
        <v>1375</v>
      </c>
      <c r="E56" s="51">
        <v>0</v>
      </c>
      <c r="F56" s="57">
        <v>1375</v>
      </c>
      <c r="G56" s="57"/>
      <c r="H56" s="58"/>
      <c r="I56" s="58"/>
      <c r="J56" s="58"/>
      <c r="K56" s="58"/>
    </row>
    <row r="57" spans="1:11" s="69" customFormat="1">
      <c r="A57" s="55">
        <v>46197</v>
      </c>
      <c r="B57" s="56" t="s">
        <v>6</v>
      </c>
      <c r="C57" s="24" t="s">
        <v>214</v>
      </c>
      <c r="D57" s="51">
        <f t="shared" si="0"/>
        <v>3640</v>
      </c>
      <c r="E57" s="57">
        <v>3640</v>
      </c>
      <c r="F57" s="57">
        <v>0</v>
      </c>
      <c r="G57" s="57"/>
      <c r="H57" s="58"/>
      <c r="I57" s="58"/>
      <c r="J57" s="58" t="s">
        <v>128</v>
      </c>
      <c r="K57" s="58" t="s">
        <v>127</v>
      </c>
    </row>
    <row r="58" spans="1:11" s="69" customFormat="1">
      <c r="A58" s="55">
        <v>46197</v>
      </c>
      <c r="B58" s="56" t="s">
        <v>6</v>
      </c>
      <c r="C58" s="24" t="s">
        <v>214</v>
      </c>
      <c r="D58" s="51">
        <f t="shared" si="0"/>
        <v>3500</v>
      </c>
      <c r="E58" s="57">
        <v>3500</v>
      </c>
      <c r="F58" s="57">
        <v>0</v>
      </c>
      <c r="G58" s="57"/>
      <c r="H58" s="58"/>
      <c r="I58" s="58"/>
      <c r="J58" s="58" t="s">
        <v>128</v>
      </c>
      <c r="K58" s="58" t="s">
        <v>129</v>
      </c>
    </row>
    <row r="59" spans="1:11" s="69" customFormat="1">
      <c r="A59" s="55">
        <v>46231</v>
      </c>
      <c r="B59" s="56" t="s">
        <v>192</v>
      </c>
      <c r="C59" s="67" t="s">
        <v>218</v>
      </c>
      <c r="D59" s="51">
        <f t="shared" si="0"/>
        <v>2190</v>
      </c>
      <c r="E59" s="51">
        <v>0</v>
      </c>
      <c r="F59" s="57">
        <v>2190</v>
      </c>
      <c r="G59" s="57"/>
      <c r="H59" s="58"/>
      <c r="I59" s="58"/>
      <c r="J59" s="58"/>
      <c r="K59" s="58"/>
    </row>
    <row r="60" spans="1:11">
      <c r="A60" s="53">
        <v>46216</v>
      </c>
      <c r="B60" s="50" t="s">
        <v>6</v>
      </c>
      <c r="C60" s="24" t="s">
        <v>214</v>
      </c>
      <c r="D60" s="51">
        <f t="shared" si="0"/>
        <v>9660</v>
      </c>
      <c r="E60" s="52">
        <v>9660</v>
      </c>
      <c r="F60" s="52">
        <v>0</v>
      </c>
      <c r="G60" s="52"/>
      <c r="H60" s="24"/>
      <c r="I60" s="24"/>
      <c r="J60" s="24" t="s">
        <v>158</v>
      </c>
      <c r="K60" s="24" t="s">
        <v>157</v>
      </c>
    </row>
    <row r="61" spans="1:11">
      <c r="A61" s="53">
        <v>46219</v>
      </c>
      <c r="B61" s="50" t="s">
        <v>6</v>
      </c>
      <c r="C61" s="24" t="s">
        <v>214</v>
      </c>
      <c r="D61" s="51">
        <f t="shared" si="0"/>
        <v>7000</v>
      </c>
      <c r="E61" s="52">
        <v>7000</v>
      </c>
      <c r="F61" s="52">
        <v>0</v>
      </c>
      <c r="G61" s="52"/>
      <c r="H61" s="24"/>
      <c r="I61" s="24"/>
      <c r="J61" s="24" t="s">
        <v>158</v>
      </c>
      <c r="K61" s="24" t="s">
        <v>159</v>
      </c>
    </row>
    <row r="62" spans="1:11" ht="48.6">
      <c r="A62" s="53">
        <v>46240</v>
      </c>
      <c r="B62" s="50" t="s">
        <v>160</v>
      </c>
      <c r="C62" s="60" t="s">
        <v>162</v>
      </c>
      <c r="D62" s="51">
        <f t="shared" si="0"/>
        <v>22527</v>
      </c>
      <c r="E62" s="51">
        <v>0</v>
      </c>
      <c r="F62" s="52">
        <v>22527</v>
      </c>
      <c r="G62" s="52"/>
      <c r="H62" s="24"/>
      <c r="I62" s="24"/>
      <c r="J62" s="24" t="s">
        <v>163</v>
      </c>
      <c r="K62" s="24" t="s">
        <v>164</v>
      </c>
    </row>
    <row r="63" spans="1:11" ht="48.6">
      <c r="A63" s="53">
        <v>46248</v>
      </c>
      <c r="B63" s="50" t="s">
        <v>6</v>
      </c>
      <c r="C63" s="60" t="s">
        <v>172</v>
      </c>
      <c r="D63" s="51">
        <f t="shared" si="0"/>
        <v>2240</v>
      </c>
      <c r="E63" s="51">
        <v>1458</v>
      </c>
      <c r="F63" s="52">
        <v>782</v>
      </c>
      <c r="G63" s="52" t="s">
        <v>219</v>
      </c>
      <c r="H63" s="24"/>
      <c r="I63" s="24"/>
      <c r="J63" s="24" t="s">
        <v>171</v>
      </c>
      <c r="K63" s="24" t="s">
        <v>170</v>
      </c>
    </row>
    <row r="64" spans="1:11" ht="32.4">
      <c r="A64" s="53">
        <v>46107</v>
      </c>
      <c r="B64" s="50" t="s">
        <v>173</v>
      </c>
      <c r="C64" s="60" t="s">
        <v>175</v>
      </c>
      <c r="D64" s="51">
        <f t="shared" si="0"/>
        <v>1400</v>
      </c>
      <c r="E64" s="51">
        <v>0</v>
      </c>
      <c r="F64" s="52">
        <v>1400</v>
      </c>
      <c r="G64" s="52" t="s">
        <v>220</v>
      </c>
      <c r="H64" s="24"/>
      <c r="I64" s="24" t="s">
        <v>198</v>
      </c>
      <c r="J64" s="24" t="s">
        <v>171</v>
      </c>
      <c r="K64" s="24" t="s">
        <v>178</v>
      </c>
    </row>
    <row r="65" spans="1:11" ht="32.4">
      <c r="A65" s="53">
        <v>46184</v>
      </c>
      <c r="B65" s="50" t="s">
        <v>173</v>
      </c>
      <c r="C65" s="60" t="s">
        <v>176</v>
      </c>
      <c r="D65" s="51">
        <f t="shared" si="0"/>
        <v>1400</v>
      </c>
      <c r="E65" s="51">
        <v>0</v>
      </c>
      <c r="F65" s="52">
        <v>1400</v>
      </c>
      <c r="G65" s="52" t="s">
        <v>220</v>
      </c>
      <c r="H65" s="24"/>
      <c r="I65" s="24" t="s">
        <v>198</v>
      </c>
      <c r="J65" s="24" t="s">
        <v>171</v>
      </c>
      <c r="K65" s="24" t="s">
        <v>179</v>
      </c>
    </row>
    <row r="66" spans="1:11" ht="32.4">
      <c r="A66" s="53">
        <v>46185</v>
      </c>
      <c r="B66" s="50" t="s">
        <v>173</v>
      </c>
      <c r="C66" s="60" t="s">
        <v>177</v>
      </c>
      <c r="D66" s="51">
        <f t="shared" si="0"/>
        <v>1400</v>
      </c>
      <c r="E66" s="51">
        <v>0</v>
      </c>
      <c r="F66" s="52">
        <v>1400</v>
      </c>
      <c r="G66" s="52" t="s">
        <v>220</v>
      </c>
      <c r="H66" s="24"/>
      <c r="I66" s="24" t="s">
        <v>198</v>
      </c>
      <c r="J66" s="24" t="s">
        <v>171</v>
      </c>
      <c r="K66" s="24" t="s">
        <v>180</v>
      </c>
    </row>
    <row r="67" spans="1:11" ht="48.6">
      <c r="A67" s="53">
        <v>46240</v>
      </c>
      <c r="B67" s="50" t="s">
        <v>6</v>
      </c>
      <c r="C67" s="60" t="s">
        <v>184</v>
      </c>
      <c r="D67" s="51">
        <f t="shared" ref="D67:D70" si="1">F67+E67</f>
        <v>1400</v>
      </c>
      <c r="E67" s="51">
        <v>950</v>
      </c>
      <c r="F67" s="52">
        <v>450</v>
      </c>
      <c r="G67" s="52" t="s">
        <v>221</v>
      </c>
      <c r="H67" s="24"/>
      <c r="I67" s="24"/>
      <c r="J67" s="24" t="s">
        <v>181</v>
      </c>
      <c r="K67" s="24" t="s">
        <v>182</v>
      </c>
    </row>
    <row r="68" spans="1:11" ht="48.6">
      <c r="A68" s="53">
        <v>46247</v>
      </c>
      <c r="B68" s="50" t="s">
        <v>6</v>
      </c>
      <c r="C68" s="60" t="s">
        <v>185</v>
      </c>
      <c r="D68" s="51">
        <f t="shared" si="1"/>
        <v>1540</v>
      </c>
      <c r="E68" s="51">
        <v>1000</v>
      </c>
      <c r="F68" s="52">
        <v>540</v>
      </c>
      <c r="G68" s="52" t="s">
        <v>222</v>
      </c>
      <c r="H68" s="24"/>
      <c r="I68" s="24"/>
      <c r="J68" s="24" t="s">
        <v>181</v>
      </c>
      <c r="K68" s="24" t="s">
        <v>183</v>
      </c>
    </row>
    <row r="69" spans="1:11" s="69" customFormat="1">
      <c r="A69" s="55">
        <v>46266</v>
      </c>
      <c r="B69" s="56" t="s">
        <v>192</v>
      </c>
      <c r="C69" s="58" t="s">
        <v>223</v>
      </c>
      <c r="D69" s="51">
        <f t="shared" si="1"/>
        <v>1134</v>
      </c>
      <c r="E69" s="51">
        <v>0</v>
      </c>
      <c r="F69" s="57">
        <v>1134</v>
      </c>
      <c r="G69" s="57" t="s">
        <v>224</v>
      </c>
      <c r="H69" s="58"/>
      <c r="I69" s="58"/>
      <c r="J69" s="58"/>
      <c r="K69" s="58"/>
    </row>
    <row r="70" spans="1:11" s="69" customFormat="1">
      <c r="A70" s="55">
        <v>46266</v>
      </c>
      <c r="B70" s="56" t="s">
        <v>192</v>
      </c>
      <c r="C70" s="58" t="s">
        <v>223</v>
      </c>
      <c r="D70" s="51">
        <f t="shared" si="1"/>
        <v>455</v>
      </c>
      <c r="E70" s="51">
        <v>0</v>
      </c>
      <c r="F70" s="57">
        <v>455</v>
      </c>
      <c r="G70" s="57" t="s">
        <v>224</v>
      </c>
      <c r="H70" s="58"/>
      <c r="I70" s="58"/>
      <c r="J70" s="58"/>
      <c r="K70" s="58"/>
    </row>
    <row r="71" spans="1:11">
      <c r="A71" s="6">
        <v>46289</v>
      </c>
      <c r="B71" s="15" t="s">
        <v>7</v>
      </c>
      <c r="C71" s="16" t="s">
        <v>235</v>
      </c>
      <c r="D71" s="2">
        <v>923</v>
      </c>
      <c r="E71" s="2">
        <v>0</v>
      </c>
      <c r="F71" s="2">
        <v>923</v>
      </c>
      <c r="G71" s="57" t="s">
        <v>224</v>
      </c>
      <c r="H71" s="15"/>
      <c r="I71" s="15"/>
      <c r="J71" s="15" t="s">
        <v>236</v>
      </c>
      <c r="K71" s="15" t="s">
        <v>237</v>
      </c>
    </row>
    <row r="72" spans="1:11">
      <c r="A72" s="6">
        <v>46301</v>
      </c>
      <c r="B72" s="56" t="s">
        <v>192</v>
      </c>
      <c r="C72" s="16" t="s">
        <v>238</v>
      </c>
      <c r="D72" s="2">
        <v>140</v>
      </c>
      <c r="E72" s="2">
        <v>0</v>
      </c>
      <c r="F72" s="2">
        <v>140</v>
      </c>
      <c r="G72" s="2"/>
      <c r="H72" s="15"/>
      <c r="I72" s="15"/>
      <c r="J72" s="15"/>
      <c r="K72" s="15"/>
    </row>
    <row r="73" spans="1:11">
      <c r="A73" s="6">
        <v>46301</v>
      </c>
      <c r="B73" s="56" t="s">
        <v>192</v>
      </c>
      <c r="C73" s="15" t="s">
        <v>239</v>
      </c>
      <c r="D73" s="2">
        <v>4550</v>
      </c>
      <c r="E73" s="2">
        <v>0</v>
      </c>
      <c r="F73" s="2">
        <v>4550</v>
      </c>
      <c r="G73" s="2"/>
      <c r="H73" s="15"/>
      <c r="I73" s="15"/>
      <c r="J73" s="15"/>
      <c r="K73" s="15"/>
    </row>
    <row r="74" spans="1:11">
      <c r="A74" s="6">
        <v>46301</v>
      </c>
      <c r="B74" s="56" t="s">
        <v>192</v>
      </c>
      <c r="C74" s="58" t="s">
        <v>223</v>
      </c>
      <c r="D74" s="2">
        <v>4321</v>
      </c>
      <c r="E74" s="2">
        <v>0</v>
      </c>
      <c r="F74" s="2">
        <v>4321</v>
      </c>
      <c r="G74" s="2"/>
      <c r="H74" s="15"/>
      <c r="I74" s="15"/>
      <c r="J74" s="15"/>
      <c r="K74" s="15"/>
    </row>
    <row r="75" spans="1:11">
      <c r="A75" s="6">
        <v>46301</v>
      </c>
      <c r="B75" s="56" t="s">
        <v>192</v>
      </c>
      <c r="C75" s="58" t="s">
        <v>223</v>
      </c>
      <c r="D75" s="2">
        <v>104</v>
      </c>
      <c r="E75" s="2">
        <v>0</v>
      </c>
      <c r="F75" s="2">
        <v>104</v>
      </c>
      <c r="G75" s="2"/>
      <c r="H75" s="15"/>
      <c r="I75" s="15"/>
      <c r="J75" s="15"/>
      <c r="K75" s="15"/>
    </row>
    <row r="76" spans="1:11">
      <c r="A76" s="6">
        <v>46301</v>
      </c>
      <c r="B76" s="56" t="s">
        <v>209</v>
      </c>
      <c r="C76" s="16" t="s">
        <v>249</v>
      </c>
      <c r="D76" s="2">
        <v>1589</v>
      </c>
      <c r="E76" s="2">
        <v>0</v>
      </c>
      <c r="F76" s="2">
        <v>1589</v>
      </c>
      <c r="G76" s="2"/>
      <c r="H76" s="15"/>
      <c r="I76" s="15"/>
      <c r="J76" s="15"/>
      <c r="K76" s="15"/>
    </row>
    <row r="77" spans="1:11">
      <c r="A77" s="6">
        <v>46302</v>
      </c>
      <c r="B77" s="50" t="s">
        <v>6</v>
      </c>
      <c r="C77" s="24" t="s">
        <v>214</v>
      </c>
      <c r="D77" s="2">
        <v>5040</v>
      </c>
      <c r="E77" s="2">
        <v>5040</v>
      </c>
      <c r="F77" s="2">
        <v>0</v>
      </c>
      <c r="G77" s="2"/>
      <c r="H77" s="15"/>
      <c r="I77" s="15"/>
      <c r="J77" s="15" t="s">
        <v>252</v>
      </c>
      <c r="K77" s="15" t="s">
        <v>251</v>
      </c>
    </row>
    <row r="78" spans="1:11">
      <c r="A78" s="6">
        <v>46302</v>
      </c>
      <c r="B78" s="50" t="s">
        <v>6</v>
      </c>
      <c r="C78" s="24" t="s">
        <v>214</v>
      </c>
      <c r="D78" s="2">
        <v>5040</v>
      </c>
      <c r="E78" s="2">
        <v>5040</v>
      </c>
      <c r="F78" s="2">
        <v>0</v>
      </c>
      <c r="G78" s="2"/>
      <c r="H78" s="15"/>
      <c r="I78" s="15"/>
      <c r="J78" s="15" t="s">
        <v>252</v>
      </c>
      <c r="K78" s="15" t="s">
        <v>250</v>
      </c>
    </row>
    <row r="79" spans="1:11">
      <c r="A79" s="6"/>
      <c r="B79" s="3"/>
      <c r="C79" s="15"/>
      <c r="D79" s="2"/>
      <c r="E79" s="2"/>
      <c r="F79" s="2"/>
      <c r="G79" s="2"/>
      <c r="H79" s="15"/>
      <c r="I79" s="15"/>
      <c r="J79" s="15"/>
      <c r="K79" s="15"/>
    </row>
    <row r="80" spans="1:11">
      <c r="A80" s="6"/>
      <c r="B80" s="3"/>
      <c r="C80" s="15"/>
      <c r="D80" s="2"/>
      <c r="E80" s="2"/>
      <c r="F80" s="2"/>
      <c r="G80" s="2"/>
      <c r="H80" s="15"/>
      <c r="I80" s="15"/>
      <c r="J80" s="15"/>
      <c r="K80" s="15"/>
    </row>
    <row r="81" spans="1:11">
      <c r="A81" s="6"/>
      <c r="B81" s="3"/>
      <c r="C81" s="15"/>
      <c r="D81" s="2"/>
      <c r="E81" s="2"/>
      <c r="F81" s="2"/>
      <c r="G81" s="2"/>
      <c r="H81" s="15"/>
      <c r="I81" s="15"/>
      <c r="J81" s="15"/>
      <c r="K81" s="15"/>
    </row>
    <row r="82" spans="1:11">
      <c r="A82" s="6"/>
      <c r="B82" s="3"/>
      <c r="C82" s="15"/>
      <c r="D82" s="2"/>
      <c r="E82" s="2"/>
      <c r="F82" s="2"/>
      <c r="G82" s="2"/>
      <c r="H82" s="15"/>
      <c r="I82" s="15"/>
      <c r="J82" s="15"/>
      <c r="K82" s="15"/>
    </row>
    <row r="83" spans="1:11">
      <c r="A83" s="6"/>
      <c r="B83" s="3"/>
      <c r="C83" s="15"/>
      <c r="D83" s="2"/>
      <c r="E83" s="2"/>
      <c r="F83" s="2"/>
      <c r="G83" s="2"/>
      <c r="H83" s="15"/>
      <c r="I83" s="15"/>
      <c r="J83" s="15"/>
      <c r="K83" s="15"/>
    </row>
    <row r="84" spans="1:11">
      <c r="A84" s="6"/>
      <c r="B84" s="3"/>
      <c r="C84" s="15"/>
      <c r="D84" s="2"/>
      <c r="E84" s="2"/>
      <c r="F84" s="2"/>
      <c r="G84" s="2"/>
      <c r="H84" s="15"/>
      <c r="I84" s="15"/>
      <c r="J84" s="15"/>
      <c r="K84" s="15"/>
    </row>
    <row r="85" spans="1:11">
      <c r="A85" s="6"/>
      <c r="B85" s="3"/>
      <c r="C85" s="15"/>
      <c r="D85" s="2"/>
      <c r="E85" s="2"/>
      <c r="F85" s="2"/>
      <c r="G85" s="2"/>
      <c r="H85" s="15"/>
      <c r="I85" s="15"/>
      <c r="J85" s="15"/>
      <c r="K85" s="15"/>
    </row>
    <row r="86" spans="1:11">
      <c r="A86" s="6"/>
      <c r="B86" s="3"/>
      <c r="C86" s="15"/>
      <c r="D86" s="2"/>
      <c r="E86" s="2"/>
      <c r="F86" s="2"/>
      <c r="G86" s="2"/>
      <c r="H86" s="15"/>
      <c r="I86" s="15"/>
      <c r="J86" s="15"/>
      <c r="K86" s="15"/>
    </row>
    <row r="87" spans="1:11">
      <c r="A87" s="6"/>
      <c r="B87" s="3"/>
      <c r="C87" s="15"/>
      <c r="D87" s="2"/>
      <c r="E87" s="2"/>
      <c r="F87" s="2"/>
      <c r="G87" s="2"/>
      <c r="H87" s="15"/>
      <c r="I87" s="15"/>
      <c r="J87" s="15"/>
      <c r="K87" s="15"/>
    </row>
    <row r="88" spans="1:11">
      <c r="A88" s="6"/>
      <c r="B88" s="3"/>
      <c r="C88" s="15"/>
      <c r="D88" s="2"/>
      <c r="E88" s="2"/>
      <c r="F88" s="2"/>
      <c r="G88" s="2"/>
      <c r="H88" s="15"/>
      <c r="I88" s="15"/>
      <c r="J88" s="15"/>
      <c r="K88" s="15"/>
    </row>
    <row r="89" spans="1:11">
      <c r="A89" s="6"/>
      <c r="B89" s="3"/>
      <c r="C89" s="15"/>
      <c r="D89" s="2"/>
      <c r="E89" s="2"/>
      <c r="F89" s="2"/>
      <c r="G89" s="2"/>
      <c r="H89" s="15"/>
      <c r="I89" s="15"/>
      <c r="J89" s="15"/>
      <c r="K89" s="15"/>
    </row>
    <row r="90" spans="1:11">
      <c r="A90" s="6"/>
      <c r="B90" s="3"/>
      <c r="C90" s="15"/>
      <c r="D90" s="2"/>
      <c r="E90" s="2"/>
      <c r="F90" s="2"/>
      <c r="G90" s="2"/>
      <c r="H90" s="15"/>
      <c r="I90" s="15"/>
      <c r="J90" s="15"/>
      <c r="K90" s="15"/>
    </row>
    <row r="91" spans="1:11">
      <c r="A91" s="6"/>
      <c r="B91" s="3"/>
      <c r="C91" s="15"/>
      <c r="D91" s="2"/>
      <c r="E91" s="2"/>
      <c r="F91" s="2"/>
      <c r="G91" s="2"/>
      <c r="H91" s="15"/>
      <c r="I91" s="15"/>
      <c r="J91" s="15"/>
      <c r="K91" s="15"/>
    </row>
    <row r="92" spans="1:11">
      <c r="A92" s="6"/>
      <c r="B92" s="3"/>
      <c r="C92" s="15"/>
      <c r="D92" s="2"/>
      <c r="E92" s="2"/>
      <c r="F92" s="2"/>
      <c r="G92" s="2"/>
      <c r="H92" s="15"/>
      <c r="I92" s="15"/>
      <c r="J92" s="15"/>
      <c r="K92" s="15"/>
    </row>
    <row r="93" spans="1:11">
      <c r="A93" s="6"/>
      <c r="B93" s="3"/>
      <c r="C93" s="15"/>
      <c r="D93" s="2"/>
      <c r="E93" s="2"/>
      <c r="F93" s="2"/>
      <c r="G93" s="2"/>
      <c r="H93" s="15"/>
      <c r="I93" s="15"/>
      <c r="J93" s="15"/>
      <c r="K93" s="15"/>
    </row>
    <row r="94" spans="1:11">
      <c r="A94" s="6"/>
      <c r="B94" s="3"/>
      <c r="C94" s="15"/>
      <c r="D94" s="2"/>
      <c r="E94" s="2"/>
      <c r="F94" s="2"/>
      <c r="G94" s="2"/>
      <c r="H94" s="15"/>
      <c r="I94" s="15"/>
      <c r="J94" s="15"/>
      <c r="K94" s="15"/>
    </row>
    <row r="95" spans="1:11">
      <c r="A95" s="6"/>
      <c r="B95" s="3"/>
      <c r="C95" s="15"/>
      <c r="D95" s="2"/>
      <c r="E95" s="2"/>
      <c r="F95" s="2"/>
      <c r="G95" s="2"/>
      <c r="H95" s="15"/>
      <c r="I95" s="15"/>
      <c r="J95" s="15"/>
      <c r="K95" s="15"/>
    </row>
    <row r="96" spans="1:11">
      <c r="A96" s="6"/>
      <c r="B96" s="3"/>
      <c r="C96" s="15"/>
      <c r="D96" s="2"/>
      <c r="E96" s="2"/>
      <c r="F96" s="2"/>
      <c r="G96" s="2"/>
      <c r="H96" s="15"/>
      <c r="I96" s="15"/>
      <c r="J96" s="15"/>
      <c r="K96" s="15"/>
    </row>
    <row r="97" spans="1:11">
      <c r="A97" s="6"/>
      <c r="B97" s="3"/>
      <c r="C97" s="15"/>
      <c r="D97" s="2"/>
      <c r="E97" s="2"/>
      <c r="F97" s="2"/>
      <c r="G97" s="2"/>
      <c r="H97" s="15"/>
      <c r="I97" s="15"/>
      <c r="J97" s="15"/>
      <c r="K97" s="15"/>
    </row>
    <row r="98" spans="1:11">
      <c r="A98" s="6"/>
      <c r="B98" s="3"/>
      <c r="C98" s="15"/>
      <c r="D98" s="2"/>
      <c r="E98" s="2"/>
      <c r="F98" s="2"/>
      <c r="G98" s="2"/>
      <c r="H98" s="15"/>
      <c r="I98" s="15"/>
      <c r="J98" s="15"/>
      <c r="K98" s="15"/>
    </row>
    <row r="99" spans="1:11">
      <c r="A99" s="6"/>
      <c r="B99" s="3"/>
      <c r="C99" s="15"/>
      <c r="D99" s="2"/>
      <c r="E99" s="2"/>
      <c r="F99" s="2"/>
      <c r="G99" s="2"/>
      <c r="H99" s="15"/>
      <c r="I99" s="15"/>
      <c r="J99" s="15"/>
      <c r="K99" s="15"/>
    </row>
    <row r="100" spans="1:11">
      <c r="A100" s="6"/>
      <c r="B100" s="3"/>
      <c r="C100" s="15"/>
      <c r="D100" s="2"/>
      <c r="E100" s="2"/>
      <c r="F100" s="2"/>
      <c r="G100" s="2"/>
      <c r="H100" s="15"/>
      <c r="I100" s="15"/>
      <c r="J100" s="15"/>
      <c r="K100" s="15"/>
    </row>
  </sheetData>
  <autoFilter ref="A1:K70" xr:uid="{BC203A93-8841-4BBB-9060-EA16340AF533}"/>
  <dataConsolidate/>
  <mergeCells count="2">
    <mergeCell ref="J45:J46"/>
    <mergeCell ref="K45:K46"/>
  </mergeCells>
  <phoneticPr fontId="2" type="noConversion"/>
  <pageMargins left="0.7" right="0.7" top="0.75" bottom="0.75" header="0.3" footer="0.3"/>
  <pageSetup paperSize="9" scale="7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906D-1ECB-4CBE-8BDB-0FFDED88CF9B}">
  <dimension ref="A1:I8"/>
  <sheetViews>
    <sheetView workbookViewId="0">
      <selection activeCell="B24" sqref="B24"/>
    </sheetView>
  </sheetViews>
  <sheetFormatPr defaultRowHeight="16.2"/>
  <cols>
    <col min="1" max="1" width="10.44140625" bestFit="1" customWidth="1"/>
    <col min="2" max="2" width="13.33203125" bestFit="1" customWidth="1"/>
    <col min="3" max="3" width="42.88671875" bestFit="1" customWidth="1"/>
    <col min="4" max="4" width="6" bestFit="1" customWidth="1"/>
    <col min="5" max="6" width="11.109375" bestFit="1" customWidth="1"/>
    <col min="7" max="7" width="9.6640625" bestFit="1" customWidth="1"/>
    <col min="8" max="8" width="14.77734375" bestFit="1" customWidth="1"/>
    <col min="9" max="9" width="8.21875" bestFit="1" customWidth="1"/>
  </cols>
  <sheetData>
    <row r="1" spans="1:9">
      <c r="A1" s="74" t="s">
        <v>165</v>
      </c>
      <c r="B1" s="74"/>
      <c r="C1" s="74"/>
      <c r="D1" s="74"/>
      <c r="E1" s="74"/>
      <c r="F1" s="74"/>
      <c r="G1" s="74"/>
      <c r="H1" s="74"/>
      <c r="I1" s="74"/>
    </row>
    <row r="2" spans="1:9" ht="31.2">
      <c r="A2" s="33" t="s">
        <v>137</v>
      </c>
      <c r="B2" s="33" t="s">
        <v>138</v>
      </c>
      <c r="C2" s="33" t="s">
        <v>144</v>
      </c>
      <c r="D2" s="34" t="s">
        <v>54</v>
      </c>
      <c r="E2" s="34" t="s">
        <v>140</v>
      </c>
      <c r="F2" s="34" t="s">
        <v>167</v>
      </c>
      <c r="G2" s="34" t="s">
        <v>142</v>
      </c>
      <c r="H2" s="35" t="s">
        <v>139</v>
      </c>
      <c r="I2" s="34" t="s">
        <v>12</v>
      </c>
    </row>
    <row r="3" spans="1:9">
      <c r="A3" s="36">
        <v>46240</v>
      </c>
      <c r="B3" s="37" t="s">
        <v>166</v>
      </c>
      <c r="C3" s="43" t="s">
        <v>169</v>
      </c>
      <c r="D3" s="37">
        <v>1</v>
      </c>
      <c r="E3" s="38">
        <v>21454</v>
      </c>
      <c r="F3" s="38">
        <v>22527</v>
      </c>
      <c r="G3" s="37" t="s">
        <v>163</v>
      </c>
      <c r="H3" s="43" t="s">
        <v>164</v>
      </c>
      <c r="I3" s="37"/>
    </row>
    <row r="4" spans="1:9">
      <c r="A4" s="36">
        <v>46255</v>
      </c>
      <c r="B4" s="15" t="s">
        <v>186</v>
      </c>
      <c r="C4" s="43" t="s">
        <v>187</v>
      </c>
      <c r="D4" s="37">
        <v>1</v>
      </c>
      <c r="E4" s="40">
        <v>349167</v>
      </c>
      <c r="F4" s="38">
        <f>E4*D4</f>
        <v>349167</v>
      </c>
      <c r="G4" s="37" t="s">
        <v>188</v>
      </c>
      <c r="H4" s="41" t="s">
        <v>189</v>
      </c>
      <c r="I4" s="15"/>
    </row>
    <row r="5" spans="1:9">
      <c r="A5" s="36"/>
      <c r="B5" s="15"/>
      <c r="C5" s="15"/>
      <c r="D5" s="37"/>
      <c r="E5" s="40"/>
      <c r="F5" s="38"/>
      <c r="G5" s="37"/>
      <c r="H5" s="41"/>
      <c r="I5" s="15"/>
    </row>
    <row r="6" spans="1:9">
      <c r="A6" s="15"/>
      <c r="B6" s="15"/>
      <c r="C6" s="15"/>
      <c r="D6" s="15"/>
      <c r="E6" s="15"/>
      <c r="F6" s="15"/>
      <c r="G6" s="15"/>
      <c r="H6" s="15"/>
      <c r="I6" s="15"/>
    </row>
    <row r="7" spans="1:9">
      <c r="A7" s="15"/>
      <c r="B7" s="15"/>
      <c r="C7" s="15"/>
      <c r="D7" s="15"/>
      <c r="E7" s="15"/>
      <c r="F7" s="15"/>
      <c r="G7" s="15"/>
      <c r="H7" s="15"/>
      <c r="I7" s="15"/>
    </row>
    <row r="8" spans="1:9">
      <c r="A8" s="75" t="s">
        <v>168</v>
      </c>
      <c r="B8" s="76"/>
      <c r="C8" s="76"/>
      <c r="D8" s="76"/>
      <c r="E8" s="77"/>
      <c r="F8" s="42">
        <f>SUM(F3:F7)</f>
        <v>371694</v>
      </c>
      <c r="G8" s="75"/>
      <c r="H8" s="76"/>
      <c r="I8" s="77"/>
    </row>
  </sheetData>
  <mergeCells count="3">
    <mergeCell ref="A1:I1"/>
    <mergeCell ref="A8:E8"/>
    <mergeCell ref="G8:I8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7564F-63EF-4B2B-8103-A3769055463C}">
  <dimension ref="A1:F11"/>
  <sheetViews>
    <sheetView topLeftCell="A2" workbookViewId="0">
      <selection activeCell="B23" sqref="B23"/>
    </sheetView>
  </sheetViews>
  <sheetFormatPr defaultRowHeight="16.2"/>
  <cols>
    <col min="1" max="1" width="10.44140625" bestFit="1" customWidth="1"/>
    <col min="2" max="2" width="42.88671875" bestFit="1" customWidth="1"/>
    <col min="3" max="3" width="11.109375" bestFit="1" customWidth="1"/>
    <col min="4" max="4" width="9.6640625" bestFit="1" customWidth="1"/>
    <col min="5" max="5" width="14.77734375" bestFit="1" customWidth="1"/>
    <col min="6" max="6" width="8.21875" bestFit="1" customWidth="1"/>
  </cols>
  <sheetData>
    <row r="1" spans="1:6">
      <c r="A1" s="74" t="s">
        <v>240</v>
      </c>
      <c r="B1" s="74"/>
      <c r="C1" s="74"/>
      <c r="D1" s="74"/>
      <c r="E1" s="74"/>
      <c r="F1" s="74"/>
    </row>
    <row r="2" spans="1:6" ht="31.2">
      <c r="A2" s="33" t="s">
        <v>55</v>
      </c>
      <c r="B2" s="33" t="s">
        <v>56</v>
      </c>
      <c r="C2" s="34" t="s">
        <v>168</v>
      </c>
      <c r="D2" s="34" t="s">
        <v>142</v>
      </c>
      <c r="E2" s="35" t="s">
        <v>139</v>
      </c>
      <c r="F2" s="34" t="s">
        <v>12</v>
      </c>
    </row>
    <row r="3" spans="1:6">
      <c r="A3" s="36">
        <v>46112</v>
      </c>
      <c r="B3" s="43" t="s">
        <v>241</v>
      </c>
      <c r="C3" s="38">
        <v>27231</v>
      </c>
      <c r="D3" s="37"/>
      <c r="E3" s="43"/>
      <c r="F3" s="37"/>
    </row>
    <row r="4" spans="1:6">
      <c r="A4" s="36">
        <v>46142</v>
      </c>
      <c r="B4" s="43" t="s">
        <v>242</v>
      </c>
      <c r="C4" s="38">
        <v>36893</v>
      </c>
      <c r="D4" s="37"/>
      <c r="E4" s="73"/>
      <c r="F4" s="15"/>
    </row>
    <row r="5" spans="1:6">
      <c r="A5" s="36">
        <v>46171</v>
      </c>
      <c r="B5" s="43" t="s">
        <v>243</v>
      </c>
      <c r="C5" s="38">
        <v>37897</v>
      </c>
      <c r="D5" s="37"/>
      <c r="E5" s="73"/>
      <c r="F5" s="15"/>
    </row>
    <row r="6" spans="1:6">
      <c r="A6" s="36">
        <v>46203</v>
      </c>
      <c r="B6" s="43" t="s">
        <v>244</v>
      </c>
      <c r="C6" s="38">
        <v>37897</v>
      </c>
      <c r="D6" s="15"/>
      <c r="E6" s="15"/>
      <c r="F6" s="15"/>
    </row>
    <row r="7" spans="1:6">
      <c r="A7" s="36">
        <v>46203</v>
      </c>
      <c r="B7" s="43" t="s">
        <v>248</v>
      </c>
      <c r="C7" s="38">
        <v>4834</v>
      </c>
      <c r="D7" s="15"/>
      <c r="E7" s="15"/>
      <c r="F7" s="15"/>
    </row>
    <row r="8" spans="1:6">
      <c r="A8" s="36">
        <v>46234</v>
      </c>
      <c r="B8" s="43" t="s">
        <v>245</v>
      </c>
      <c r="C8" s="38">
        <v>37897</v>
      </c>
      <c r="D8" s="15"/>
      <c r="E8" s="15"/>
      <c r="F8" s="15"/>
    </row>
    <row r="9" spans="1:6">
      <c r="A9" s="36">
        <v>46265</v>
      </c>
      <c r="B9" s="43" t="s">
        <v>246</v>
      </c>
      <c r="C9" s="38">
        <v>37897</v>
      </c>
      <c r="D9" s="15"/>
      <c r="E9" s="15"/>
      <c r="F9" s="15"/>
    </row>
    <row r="10" spans="1:6">
      <c r="A10" s="36">
        <v>46295</v>
      </c>
      <c r="B10" s="43" t="s">
        <v>247</v>
      </c>
      <c r="C10" s="38">
        <v>37897</v>
      </c>
      <c r="D10" s="15"/>
      <c r="E10" s="15"/>
      <c r="F10" s="15"/>
    </row>
    <row r="11" spans="1:6">
      <c r="A11" s="75" t="s">
        <v>168</v>
      </c>
      <c r="B11" s="76"/>
      <c r="C11" s="42">
        <f>SUM(C3:C10)</f>
        <v>258443</v>
      </c>
      <c r="D11" s="75"/>
      <c r="E11" s="76"/>
      <c r="F11" s="77"/>
    </row>
  </sheetData>
  <mergeCells count="3">
    <mergeCell ref="A1:F1"/>
    <mergeCell ref="A11:B11"/>
    <mergeCell ref="D11:F11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49C4-C405-4DE6-96C8-B4016E88447D}">
  <dimension ref="A1:F6"/>
  <sheetViews>
    <sheetView workbookViewId="0">
      <selection activeCell="D20" sqref="D20"/>
    </sheetView>
  </sheetViews>
  <sheetFormatPr defaultRowHeight="16.2"/>
  <cols>
    <col min="1" max="1" width="17.44140625" bestFit="1" customWidth="1"/>
    <col min="2" max="3" width="13.6640625" customWidth="1"/>
    <col min="4" max="4" width="25.21875" bestFit="1" customWidth="1"/>
    <col min="5" max="5" width="13.6640625" customWidth="1"/>
    <col min="6" max="6" width="16.21875" bestFit="1" customWidth="1"/>
    <col min="7" max="7" width="13.6640625" customWidth="1"/>
  </cols>
  <sheetData>
    <row r="1" spans="1:6" ht="18">
      <c r="A1" s="5" t="s">
        <v>15</v>
      </c>
      <c r="B1" s="4" t="s">
        <v>13</v>
      </c>
      <c r="C1" s="4" t="s">
        <v>11</v>
      </c>
      <c r="D1" s="4" t="s">
        <v>12</v>
      </c>
      <c r="E1" s="4" t="s">
        <v>34</v>
      </c>
      <c r="F1" s="4" t="s">
        <v>48</v>
      </c>
    </row>
    <row r="2" spans="1:6">
      <c r="A2" s="30" t="s">
        <v>52</v>
      </c>
      <c r="B2" s="31" t="s">
        <v>49</v>
      </c>
      <c r="C2" s="31">
        <v>385</v>
      </c>
      <c r="D2" s="31" t="s">
        <v>50</v>
      </c>
      <c r="E2" s="31"/>
      <c r="F2" s="31" t="s">
        <v>51</v>
      </c>
    </row>
    <row r="3" spans="1:6">
      <c r="A3" s="30" t="s">
        <v>52</v>
      </c>
      <c r="B3" s="31" t="s">
        <v>49</v>
      </c>
      <c r="C3" s="29">
        <v>445</v>
      </c>
      <c r="D3" s="31" t="s">
        <v>50</v>
      </c>
      <c r="E3" s="29"/>
      <c r="F3" s="29" t="s">
        <v>133</v>
      </c>
    </row>
    <row r="4" spans="1:6">
      <c r="A4" s="30" t="s">
        <v>130</v>
      </c>
      <c r="B4" s="31" t="s">
        <v>49</v>
      </c>
      <c r="C4" s="29">
        <v>375</v>
      </c>
      <c r="D4" s="31" t="s">
        <v>131</v>
      </c>
      <c r="E4" s="29"/>
      <c r="F4" s="89" t="s">
        <v>132</v>
      </c>
    </row>
    <row r="5" spans="1:6">
      <c r="A5" s="30" t="s">
        <v>130</v>
      </c>
      <c r="B5" s="31" t="s">
        <v>49</v>
      </c>
      <c r="C5" s="29">
        <v>350</v>
      </c>
      <c r="D5" s="31" t="s">
        <v>131</v>
      </c>
      <c r="E5" s="29"/>
      <c r="F5" s="89"/>
    </row>
    <row r="6" spans="1:6">
      <c r="A6" s="30" t="s">
        <v>135</v>
      </c>
      <c r="B6" s="31" t="s">
        <v>49</v>
      </c>
      <c r="C6" s="29">
        <v>370</v>
      </c>
      <c r="D6" s="31" t="s">
        <v>134</v>
      </c>
      <c r="E6" s="29"/>
      <c r="F6" s="31" t="s">
        <v>136</v>
      </c>
    </row>
  </sheetData>
  <mergeCells count="1">
    <mergeCell ref="F4:F5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C220-C8EE-4B9E-8E82-2AF7148D585A}">
  <dimension ref="A1:B10"/>
  <sheetViews>
    <sheetView workbookViewId="0">
      <selection activeCell="B24" sqref="B24"/>
    </sheetView>
  </sheetViews>
  <sheetFormatPr defaultRowHeight="16.2"/>
  <cols>
    <col min="1" max="1" width="15.33203125" bestFit="1" customWidth="1"/>
    <col min="2" max="2" width="20.109375" bestFit="1" customWidth="1"/>
  </cols>
  <sheetData>
    <row r="1" spans="1:2">
      <c r="A1" t="s">
        <v>191</v>
      </c>
    </row>
    <row r="2" spans="1:2">
      <c r="A2" s="15" t="s">
        <v>6</v>
      </c>
      <c r="B2" s="13" t="s">
        <v>36</v>
      </c>
    </row>
    <row r="3" spans="1:2">
      <c r="A3" s="15" t="s">
        <v>7</v>
      </c>
      <c r="B3" s="14" t="s">
        <v>19</v>
      </c>
    </row>
    <row r="4" spans="1:2">
      <c r="A4" s="15" t="s">
        <v>8</v>
      </c>
      <c r="B4" s="14" t="s">
        <v>18</v>
      </c>
    </row>
    <row r="5" spans="1:2">
      <c r="A5" s="15" t="s">
        <v>9</v>
      </c>
      <c r="B5" s="47" t="s">
        <v>38</v>
      </c>
    </row>
    <row r="6" spans="1:2">
      <c r="A6" s="16" t="s">
        <v>14</v>
      </c>
      <c r="B6" s="48" t="s">
        <v>40</v>
      </c>
    </row>
    <row r="7" spans="1:2">
      <c r="A7" s="16" t="s">
        <v>161</v>
      </c>
      <c r="B7" s="48" t="s">
        <v>44</v>
      </c>
    </row>
    <row r="8" spans="1:2">
      <c r="A8" s="16" t="s">
        <v>174</v>
      </c>
    </row>
    <row r="9" spans="1:2">
      <c r="A9" s="15" t="s">
        <v>192</v>
      </c>
    </row>
    <row r="10" spans="1:2">
      <c r="A10" s="15" t="s">
        <v>193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資本門</vt:lpstr>
      <vt:lpstr>業務費總表</vt:lpstr>
      <vt:lpstr>明細表 </vt:lpstr>
      <vt:lpstr>業務費-租金</vt:lpstr>
      <vt:lpstr>業務費-人事費</vt:lpstr>
      <vt:lpstr>交通費</vt:lpstr>
      <vt:lpstr>參數設定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d03</dc:creator>
  <cp:lastModifiedBy>承翰 HO CHENG-HAN</cp:lastModifiedBy>
  <cp:lastPrinted>2026-07-31T01:28:11Z</cp:lastPrinted>
  <dcterms:created xsi:type="dcterms:W3CDTF">2026-03-24T00:13:40Z</dcterms:created>
  <dcterms:modified xsi:type="dcterms:W3CDTF">2026-10-13T05:34:01Z</dcterms:modified>
</cp:coreProperties>
</file>