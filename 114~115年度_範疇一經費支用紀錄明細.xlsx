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983" documentId="13_ncr:1_{182D9DB2-ED36-4605-9D4B-D74488644F2E}" xr6:coauthVersionLast="47" xr6:coauthVersionMax="47" xr10:uidLastSave="{ABE50349-4E3A-4D0A-9530-C10E4BA08DD1}"/>
  <bookViews>
    <workbookView xWindow="-23148" yWindow="-108" windowWidth="23256" windowHeight="12456" activeTab="4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業務費-人事費" sheetId="12" r:id="rId5"/>
    <sheet name="交通費" sheetId="4" r:id="rId6"/>
    <sheet name="參數設定" sheetId="9" r:id="rId7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12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<sst xmlns="http://schemas.openxmlformats.org/spreadsheetml/2006/main" count="483" uniqueCount="249">
  <si>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</si>
  <si>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</si>
  <si>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</si>
  <si>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</si>
  <si>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</si>
  <si>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</si>
  <si>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</si>
  <si>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</si>
  <si>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</si>
  <si>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</si>
  <si>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</si>
  <si>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</si>
  <si>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</si>
  <si>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</si>
  <si>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</si>
  <si>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</si>
  <si>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</si>
  <si>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</si>
  <si>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</si>
  <si>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</si>
  <si>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</si>
  <si>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</si>
  <si>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</si>
  <si>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</si>
  <si>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</si>
  <si>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</si>
  <si>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</si>
  <si>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</si>
  <si>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</si>
  <si>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</si>
  <si>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</si>
  <si>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</si>
  <si>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</si>
  <si>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</si>
  <si>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</si>
  <si>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</si>
  <si>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</si>
  <si>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</si>
  <si>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</si>
  <si>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</si>
  <si>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</si>
  <si>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</si>
  <si>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</si>
  <si>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</si>
  <si>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</si>
  <si>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</si>
  <si>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</si>
  <si>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</si>
  <si>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</si>
  <si>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</si>
  <si>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</si>
  <si>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</si>
  <si>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</si>
  <si>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</si>
  <si>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</si>
  <si>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</si>
  <si>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</si>
  <si>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</si>
  <si>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</si>
  <si>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</si>
  <si>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</si>
  <si>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</si>
  <si>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</si>
  <si>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</si>
  <si>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</si>
  <si>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</si>
  <si>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</si>
  <si>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</si>
  <si>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</si>
  <si>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</si>
  <si>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</si>
  <si>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</si>
  <si>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</si>
  <si>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</si>
  <si>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</si>
  <si>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</si>
  <si>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</si>
  <si>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</si>
  <si>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</si>
  <si>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</si>
  <si>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</si>
  <si>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</si>
  <si>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</si>
  <si>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</si>
  <si>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</si>
  <si>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</si>
  <si>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</si>
  <si>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</si>
  <si>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</si>
  <si>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</si>
  <si>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</si>
  <si>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</si>
  <si>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</si>
  <si>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</si>
  <si>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</si>
  <si>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</si>
  <si>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</si>
  <si>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</si>
  <si>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</si>
  <si>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</si>
  <si>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</si>
  <si>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</si>
  <si>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</si>
  <si>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</si>
  <si>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</si>
  <si>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</si>
  <si>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</si>
  <si>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</si>
  <si>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</si>
  <si>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</si>
  <si>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</si>
  <si>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</si>
  <si>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</si>
  <si>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</si>
  <si>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</si>
  <si>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</si>
  <si>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</si>
  <si>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</si>
  <si>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</si>
  <si>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</si>
  <si>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</si>
  <si>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</si>
  <si>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</si>
  <si>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</si>
  <si>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</si>
  <si>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</si>
  <si>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</si>
  <si>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</si>
  <si>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</si>
  <si>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</si>
  <si>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</si>
  <si>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</si>
  <si>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</si>
  <si>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</si>
  <si>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</si>
  <si>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</si>
  <si>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</si>
  <si>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</si>
  <si>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</si>
  <si>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</si>
  <si>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</si>
  <si>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</si>
  <si>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</si>
  <si>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</si>
  <si>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</si>
  <si>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</si>
  <si>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</si>
  <si>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</si>
  <si>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</si>
  <si>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</si>
  <si>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</si>
  <si>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</si>
  <si>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</si>
  <si>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</si>
  <si>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</si>
  <si>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</si>
  <si>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</si>
  <si>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</si>
  <si>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</si>
  <si>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</si>
  <si>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</si>
  <si>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</si>
  <si>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</si>
  <si>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</si>
  <si>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</si>
  <si>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</si>
  <si>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</si>
  <si>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</si>
  <si>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</si>
  <si>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</si>
  <si>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</si>
  <si>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</si>
  <si>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</si>
  <si>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</si>
  <si>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</si>
  <si>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</si>
  <si>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</si>
  <si>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</si>
  <si>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</si>
  <si>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</si>
  <si>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</si>
  <si>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</si>
  <si>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</si>
  <si>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</si>
  <si>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</si>
  <si>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</si>
  <si>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</si>
  <si>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</si>
  <si>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</si>
  <si>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</si>
  <si>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</si>
  <si>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</si>
  <si>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</si>
  <si>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</si>
  <si>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</si>
  <si>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</si>
  <si>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</si>
  <si>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</si>
  <si>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</si>
  <si>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</si>
  <si>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</si>
  <si>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</si>
  <si>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</si>
  <si>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</si>
  <si>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</si>
  <si>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</si>
  <si>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</si>
  <si>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</si>
  <si>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</si>
  <si>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</si>
  <si>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</si>
  <si>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</si>
  <si>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</si>
  <si>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</si>
  <si>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</si>
  <si>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</si>
  <si>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</si>
  <si>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</si>
  <si>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</si>
  <si>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</si>
  <si>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</si>
  <si>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</si>
  <si>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</si>
  <si>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</si>
  <si>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</si>
  <si>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</si>
  <si>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</si>
  <si>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</si>
  <si>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</si>
  <si>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</si>
  <si>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</si>
  <si>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</si>
  <si>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</si>
  <si>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</si>
  <si>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</si>
  <si>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</si>
  <si>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</si>
  <si>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</si>
  <si>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</si>
  <si>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</si>
  <si>
    <t>業務費-人事費</t>
    <phoneticPr fontId="2" type="noConversion"/>
  </si>
  <si>
    <t>研究助理3月薪資</t>
    <phoneticPr fontId="2" type="noConversion"/>
  </si>
  <si>
    <t>研究助理4月薪資</t>
  </si>
  <si>
    <t>研究助理5月薪資</t>
  </si>
  <si>
    <t>研究助理6月薪資</t>
  </si>
  <si>
    <t>研究助理7月薪資</t>
  </si>
  <si>
    <t>研究助理8月薪資</t>
  </si>
  <si>
    <t>研究助理9月薪資</t>
  </si>
  <si>
    <t>研究助理6月三節獎金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</si>
</sst>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2"/>
  <sheetViews>
    <sheetView workbookViewId="0">
      <selection activeCell="D11" sqref="D11:G15"/>
    </sheetView>
  </sheetViews>
  <sheetFormatPr defaultRowHeight="16.2"/>
  <cols>
    <col min="1" max="1" width="15.332031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5" t="s">
        <v>141</v>
      </c>
      <c r="B1" s="75"/>
      <c r="C1" s="75"/>
      <c r="D1" s="75"/>
      <c r="E1" s="75"/>
      <c r="F1" s="75"/>
      <c r="G1" s="75"/>
      <c r="H1" s="75"/>
      <c r="I1" s="75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37" t="s">
        <v>143</v>
      </c>
      <c r="C3" s="37" t="s">
        <v>145</v>
      </c>
      <c r="D3" s="37">
        <v>1</v>
      </c>
      <c r="E3" s="38">
        <v>588000</v>
      </c>
      <c r="F3" s="38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15" t="s">
        <v>153</v>
      </c>
      <c r="C4" s="15" t="s">
        <v>154</v>
      </c>
      <c r="D4" s="37">
        <v>1</v>
      </c>
      <c r="E4" s="40">
        <v>1071000</v>
      </c>
      <c r="F4" s="38">
        <f t="shared" ref="F4:F6" si="0">D4*E4</f>
        <v>1071000</v>
      </c>
      <c r="G4" s="37" t="s">
        <v>150</v>
      </c>
      <c r="H4" s="73" t="s">
        <v>149</v>
      </c>
      <c r="I4" s="16" t="s">
        <v>229</v>
      </c>
    </row>
    <row r="5" spans="1:9">
      <c r="A5" s="36">
        <v>46231</v>
      </c>
      <c r="B5" s="15" t="s">
        <v>151</v>
      </c>
      <c r="C5" s="15" t="s">
        <v>155</v>
      </c>
      <c r="D5" s="37">
        <v>1</v>
      </c>
      <c r="E5" s="40">
        <v>714000</v>
      </c>
      <c r="F5" s="38">
        <f t="shared" si="0"/>
        <v>714000</v>
      </c>
      <c r="G5" s="37" t="s">
        <v>150</v>
      </c>
      <c r="H5" s="73" t="s">
        <v>149</v>
      </c>
      <c r="I5" s="15" t="s">
        <v>230</v>
      </c>
    </row>
    <row r="6" spans="1:9">
      <c r="A6" s="36">
        <v>46231</v>
      </c>
      <c r="B6" s="15" t="s">
        <v>152</v>
      </c>
      <c r="C6" s="15" t="s">
        <v>156</v>
      </c>
      <c r="D6" s="37">
        <v>1</v>
      </c>
      <c r="E6" s="40">
        <v>1071000</v>
      </c>
      <c r="F6" s="38">
        <f t="shared" si="0"/>
        <v>1071000</v>
      </c>
      <c r="G6" s="37" t="s">
        <v>150</v>
      </c>
      <c r="H6" s="73" t="s">
        <v>149</v>
      </c>
      <c r="I6" s="15" t="s">
        <v>231</v>
      </c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6" t="s">
        <v>168</v>
      </c>
      <c r="B9" s="77"/>
      <c r="C9" s="77"/>
      <c r="D9" s="77"/>
      <c r="E9" s="78"/>
      <c r="F9" s="42">
        <f>SUM(F3:F8)</f>
        <v>3444000</v>
      </c>
      <c r="G9" s="76"/>
      <c r="H9" s="77"/>
      <c r="I9" s="78"/>
    </row>
    <row r="12" spans="1:9">
      <c r="F12" s="46"/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E10" sqref="E10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4" t="s">
        <v>5</v>
      </c>
      <c r="B2" s="8" t="s">
        <v>6</v>
      </c>
      <c r="C2" s="28">
        <v>130000</v>
      </c>
      <c r="D2" s="10">
        <f>SUMIF('明細表 '!B:B, B2, '明細表 '!D:D)</f>
        <v>57308</v>
      </c>
      <c r="E2" s="28">
        <f>C2-D2</f>
        <v>72692</v>
      </c>
      <c r="F2" s="11">
        <f>D2/C2</f>
        <v>0.44083076923076925</v>
      </c>
    </row>
    <row r="3" spans="1:7" ht="19.95" customHeight="1">
      <c r="A3" s="85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5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5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5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77139</v>
      </c>
    </row>
    <row r="7" spans="1:7" ht="19.95" customHeight="1">
      <c r="A7" s="86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79" t="s">
        <v>10</v>
      </c>
      <c r="B8" s="80"/>
      <c r="C8" s="9">
        <f>SUM(C2:C7)</f>
        <v>261200</v>
      </c>
      <c r="D8" s="9">
        <f>SUM(D2:D7)</f>
        <v>154855</v>
      </c>
      <c r="E8" s="28">
        <f>C8-D8</f>
        <v>106345</v>
      </c>
      <c r="F8" s="11">
        <f t="shared" si="1"/>
        <v>0.59285987748851454</v>
      </c>
    </row>
    <row r="9" spans="1:7" ht="23.4" customHeight="1">
      <c r="A9" s="87" t="s">
        <v>228</v>
      </c>
      <c r="B9" s="87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7"/>
      <c r="B10" s="87"/>
      <c r="C10" s="9">
        <f>SUMIF('明細表 '!B:B, "待沖帳", '明細表 '!D:D)</f>
        <v>46578</v>
      </c>
      <c r="D10" s="9">
        <f>SUM('明細表 '!E:E)</f>
        <v>39528</v>
      </c>
      <c r="E10" s="28">
        <f>(C10-D10)</f>
        <v>7050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1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2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2"/>
      <c r="B14" s="6"/>
      <c r="C14" s="9" t="s">
        <v>41</v>
      </c>
      <c r="D14" s="9">
        <v>65000</v>
      </c>
      <c r="E14" s="9">
        <f>E2+E5</f>
        <v>72861</v>
      </c>
      <c r="F14" s="23">
        <f>D14-E14</f>
        <v>-7861</v>
      </c>
      <c r="G14" s="22"/>
    </row>
    <row r="15" spans="1:7" ht="46.8">
      <c r="A15" s="82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3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77139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zoomScaleNormal="100" workbookViewId="0">
      <pane ySplit="1" topLeftCell="A67" activePane="bottomLeft" state="frozen"/>
      <selection pane="bottomLeft" activeCell="D81" sqref="D81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88" t="s">
        <v>117</v>
      </c>
      <c r="K45" s="89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88"/>
      <c r="K46" s="89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>
      <c r="A73" s="6">
        <v>46301</v>
      </c>
      <c r="B73" s="50" t="s">
        <v>6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>
      <c r="A76" s="6"/>
      <c r="B76" s="3"/>
      <c r="C76" s="15"/>
      <c r="D76" s="2"/>
      <c r="E76" s="2"/>
      <c r="F76" s="2"/>
      <c r="G76" s="2"/>
      <c r="H76" s="15"/>
      <c r="I76" s="15"/>
      <c r="J76" s="15"/>
      <c r="K76" s="15"/>
    </row>
    <row r="77" spans="1:11">
      <c r="A77" s="6"/>
      <c r="B77" s="3"/>
      <c r="C77" s="15"/>
      <c r="D77" s="2"/>
      <c r="E77" s="2"/>
      <c r="F77" s="2"/>
      <c r="G77" s="2"/>
      <c r="H77" s="15"/>
      <c r="I77" s="15"/>
      <c r="J77" s="15"/>
      <c r="K77" s="15"/>
    </row>
    <row r="78" spans="1:11">
      <c r="A78" s="6"/>
      <c r="B78" s="3"/>
      <c r="C78" s="15"/>
      <c r="D78" s="2"/>
      <c r="E78" s="2"/>
      <c r="F78" s="2"/>
      <c r="G78" s="2"/>
      <c r="H78" s="15"/>
      <c r="I78" s="15"/>
      <c r="J78" s="15"/>
      <c r="K78" s="15"/>
    </row>
    <row r="79" spans="1:11">
      <c r="A79" s="6"/>
      <c r="B79" s="3"/>
      <c r="C79" s="15"/>
      <c r="D79" s="2"/>
      <c r="E79" s="2"/>
      <c r="F79" s="2"/>
      <c r="G79" s="2"/>
      <c r="H79" s="15"/>
      <c r="I79" s="15"/>
      <c r="J79" s="15"/>
      <c r="K79" s="15"/>
    </row>
    <row r="80" spans="1:11">
      <c r="A80" s="6"/>
      <c r="B80" s="3"/>
      <c r="C80" s="15"/>
      <c r="D80" s="2"/>
      <c r="E80" s="2"/>
      <c r="F80" s="2"/>
      <c r="G80" s="2"/>
      <c r="H80" s="15"/>
      <c r="I80" s="15"/>
      <c r="J80" s="15"/>
      <c r="K80" s="15"/>
    </row>
    <row r="81" spans="1:11">
      <c r="A81" s="6"/>
      <c r="B81" s="3"/>
      <c r="C81" s="15"/>
      <c r="D81" s="2"/>
      <c r="E81" s="2"/>
      <c r="F81" s="2"/>
      <c r="G81" s="2"/>
      <c r="H81" s="15"/>
      <c r="I81" s="15"/>
      <c r="J81" s="15"/>
      <c r="K81" s="15"/>
    </row>
    <row r="82" spans="1:11">
      <c r="A82" s="6"/>
      <c r="B82" s="3"/>
      <c r="C82" s="15"/>
      <c r="D82" s="2"/>
      <c r="E82" s="2"/>
      <c r="F82" s="2"/>
      <c r="G82" s="2"/>
      <c r="H82" s="15"/>
      <c r="I82" s="15"/>
      <c r="J82" s="15"/>
      <c r="K82" s="15"/>
    </row>
    <row r="83" spans="1:11">
      <c r="A83" s="6"/>
      <c r="B83" s="3"/>
      <c r="C83" s="15"/>
      <c r="D83" s="2"/>
      <c r="E83" s="2"/>
      <c r="F83" s="2"/>
      <c r="G83" s="2"/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F4" sqref="F4"/>
    </sheetView>
  </sheetViews>
  <sheetFormatPr defaultRowHeight="16.2"/>
  <cols>
    <col min="1" max="1" width="10.441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5" t="s">
        <v>165</v>
      </c>
      <c r="B1" s="75"/>
      <c r="C1" s="75"/>
      <c r="D1" s="75"/>
      <c r="E1" s="75"/>
      <c r="F1" s="75"/>
      <c r="G1" s="75"/>
      <c r="H1" s="75"/>
      <c r="I1" s="75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/>
      <c r="B5" s="15"/>
      <c r="C5" s="15"/>
      <c r="D5" s="37"/>
      <c r="E5" s="40"/>
      <c r="F5" s="38"/>
      <c r="G5" s="37"/>
      <c r="H5" s="41"/>
      <c r="I5" s="15"/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6" t="s">
        <v>168</v>
      </c>
      <c r="B8" s="77"/>
      <c r="C8" s="77"/>
      <c r="D8" s="77"/>
      <c r="E8" s="78"/>
      <c r="F8" s="42">
        <f>SUM(F3:F7)</f>
        <v>371694</v>
      </c>
      <c r="G8" s="76"/>
      <c r="H8" s="77"/>
      <c r="I8" s="78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564F-63EF-4B2B-8103-A3769055463C}">
  <dimension ref="A1:F11"/>
  <sheetViews>
    <sheetView tabSelected="1" workbookViewId="0">
      <selection activeCell="C6" sqref="C6:C10"/>
    </sheetView>
  </sheetViews>
  <sheetFormatPr defaultRowHeight="16.2"/>
  <cols>
    <col min="1" max="1" width="10.44140625" bestFit="1" customWidth="1"/>
    <col min="2" max="2" width="42.88671875" bestFit="1" customWidth="1"/>
    <col min="3" max="3" width="11.109375" bestFit="1" customWidth="1"/>
    <col min="4" max="4" width="9.6640625" bestFit="1" customWidth="1"/>
    <col min="5" max="5" width="14.77734375" bestFit="1" customWidth="1"/>
    <col min="6" max="6" width="8.21875" bestFit="1" customWidth="1"/>
  </cols>
  <sheetData>
    <row r="1" spans="1:6">
      <c r="A1" s="75" t="s">
        <v>240</v>
      </c>
      <c r="B1" s="75"/>
      <c r="C1" s="75"/>
      <c r="D1" s="75"/>
      <c r="E1" s="75"/>
      <c r="F1" s="75"/>
    </row>
    <row r="2" spans="1:6" ht="31.2">
      <c r="A2" s="33" t="s">
        <v>55</v>
      </c>
      <c r="B2" s="33" t="s">
        <v>56</v>
      </c>
      <c r="C2" s="34" t="s">
        <v>168</v>
      </c>
      <c r="D2" s="34" t="s">
        <v>142</v>
      </c>
      <c r="E2" s="35" t="s">
        <v>139</v>
      </c>
      <c r="F2" s="34" t="s">
        <v>12</v>
      </c>
    </row>
    <row r="3" spans="1:6">
      <c r="A3" s="36">
        <v>46112</v>
      </c>
      <c r="B3" s="43" t="s">
        <v>241</v>
      </c>
      <c r="C3" s="38">
        <v>27231</v>
      </c>
      <c r="D3" s="37"/>
      <c r="E3" s="43"/>
      <c r="F3" s="37"/>
    </row>
    <row r="4" spans="1:6">
      <c r="A4" s="36">
        <v>46142</v>
      </c>
      <c r="B4" s="43" t="s">
        <v>242</v>
      </c>
      <c r="C4" s="38">
        <v>36893</v>
      </c>
      <c r="D4" s="37"/>
      <c r="E4" s="74"/>
      <c r="F4" s="15"/>
    </row>
    <row r="5" spans="1:6">
      <c r="A5" s="36">
        <v>46171</v>
      </c>
      <c r="B5" s="43" t="s">
        <v>243</v>
      </c>
      <c r="C5" s="38">
        <v>37897</v>
      </c>
      <c r="D5" s="37"/>
      <c r="E5" s="74"/>
      <c r="F5" s="15"/>
    </row>
    <row r="6" spans="1:6">
      <c r="A6" s="36">
        <v>46203</v>
      </c>
      <c r="B6" s="43" t="s">
        <v>244</v>
      </c>
      <c r="C6" s="38">
        <v>37897</v>
      </c>
      <c r="D6" s="15"/>
      <c r="E6" s="15"/>
      <c r="F6" s="15"/>
    </row>
    <row r="7" spans="1:6">
      <c r="A7" s="36">
        <v>46203</v>
      </c>
      <c r="B7" s="43" t="s">
        <v>248</v>
      </c>
      <c r="C7" s="38">
        <v>4834</v>
      </c>
      <c r="D7" s="15"/>
      <c r="E7" s="15"/>
      <c r="F7" s="15"/>
    </row>
    <row r="8" spans="1:6">
      <c r="A8" s="36">
        <v>46234</v>
      </c>
      <c r="B8" s="43" t="s">
        <v>245</v>
      </c>
      <c r="C8" s="38">
        <v>37897</v>
      </c>
      <c r="D8" s="15"/>
      <c r="E8" s="15"/>
      <c r="F8" s="15"/>
    </row>
    <row r="9" spans="1:6">
      <c r="A9" s="36">
        <v>46265</v>
      </c>
      <c r="B9" s="43" t="s">
        <v>246</v>
      </c>
      <c r="C9" s="38">
        <v>37897</v>
      </c>
      <c r="D9" s="15"/>
      <c r="E9" s="15"/>
      <c r="F9" s="15"/>
    </row>
    <row r="10" spans="1:6">
      <c r="A10" s="36">
        <v>46295</v>
      </c>
      <c r="B10" s="43" t="s">
        <v>247</v>
      </c>
      <c r="C10" s="38">
        <v>37897</v>
      </c>
      <c r="D10" s="15"/>
      <c r="E10" s="15"/>
      <c r="F10" s="15"/>
    </row>
    <row r="11" spans="1:6">
      <c r="A11" s="76" t="s">
        <v>168</v>
      </c>
      <c r="B11" s="77"/>
      <c r="C11" s="42">
        <f>SUM(C3:C10)</f>
        <v>258443</v>
      </c>
      <c r="D11" s="76"/>
      <c r="E11" s="77"/>
      <c r="F11" s="78"/>
    </row>
  </sheetData>
  <mergeCells count="3">
    <mergeCell ref="A1:F1"/>
    <mergeCell ref="A11:B11"/>
    <mergeCell ref="D11:F1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D20" sqref="D20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90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90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資本門</vt:lpstr>
      <vt:lpstr>業務費總表</vt:lpstr>
      <vt:lpstr>明細表 </vt:lpstr>
      <vt:lpstr>業務費-租金</vt:lpstr>
      <vt:lpstr>業務費-人事費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2026-10-06T05:48:01Z</dcterms:modified>
</cp:coreProperties>
</file>