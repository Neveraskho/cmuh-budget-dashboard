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945" documentId="13_ncr:1_{182D9DB2-ED36-4605-9D4B-D74488644F2E}" xr6:coauthVersionLast="47" xr6:coauthVersionMax="47" xr10:uidLastSave="{627AAA33-4E8E-47CE-8073-D72529F2F068}"/>
  <bookViews>
    <workbookView xWindow="-10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交通費" sheetId="4" r:id="rId5"/>
    <sheet name="參數設定" sheetId="9" r:id="rId6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" i="1" l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E10" i="1" s="1"/>
  <c r="D4" i="1"/>
  <c r="H16" i="10"/>
  <c r="F12" i="6"/>
  <c r="D2" i="1" l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<sst xmlns="http://schemas.openxmlformats.org/spreadsheetml/2006/main" count="459" uniqueCount="238">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</sst>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5" xfId="0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3"/>
  <sheetViews>
    <sheetView workbookViewId="0">
      <selection activeCell="I7" sqref="I7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4" t="s">
        <v>141</v>
      </c>
      <c r="B1" s="74"/>
      <c r="C1" s="74"/>
      <c r="D1" s="74"/>
      <c r="E1" s="74"/>
      <c r="F1" s="74"/>
      <c r="G1" s="74"/>
      <c r="H1" s="74"/>
      <c r="I1" s="74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37" t="s">
        <v>143</v>
      </c>
      <c r="C3" s="37" t="s">
        <v>145</v>
      </c>
      <c r="D3" s="37">
        <v>1</v>
      </c>
      <c r="E3" s="38">
        <v>588000</v>
      </c>
      <c r="F3" s="38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15" t="s">
        <v>153</v>
      </c>
      <c r="C4" s="15" t="s">
        <v>154</v>
      </c>
      <c r="D4" s="37">
        <v>1</v>
      </c>
      <c r="E4" s="40">
        <v>1071000</v>
      </c>
      <c r="F4" s="38">
        <f t="shared" ref="F4:F6" si="0">D4*E4</f>
        <v>1071000</v>
      </c>
      <c r="G4" s="37" t="s">
        <v>150</v>
      </c>
      <c r="H4" s="73" t="s">
        <v>149</v>
      </c>
      <c r="I4" s="16" t="s">
        <v>229</v>
      </c>
    </row>
    <row r="5" spans="1:9">
      <c r="A5" s="36">
        <v>46231</v>
      </c>
      <c r="B5" s="15" t="s">
        <v>151</v>
      </c>
      <c r="C5" s="15" t="s">
        <v>155</v>
      </c>
      <c r="D5" s="37">
        <v>1</v>
      </c>
      <c r="E5" s="40">
        <v>714000</v>
      </c>
      <c r="F5" s="38">
        <f t="shared" si="0"/>
        <v>714000</v>
      </c>
      <c r="G5" s="37" t="s">
        <v>150</v>
      </c>
      <c r="H5" s="73" t="s">
        <v>149</v>
      </c>
      <c r="I5" s="15" t="s">
        <v>230</v>
      </c>
    </row>
    <row r="6" spans="1:9">
      <c r="A6" s="36">
        <v>46231</v>
      </c>
      <c r="B6" s="15" t="s">
        <v>152</v>
      </c>
      <c r="C6" s="15" t="s">
        <v>156</v>
      </c>
      <c r="D6" s="37">
        <v>1</v>
      </c>
      <c r="E6" s="40">
        <v>1071000</v>
      </c>
      <c r="F6" s="38">
        <f t="shared" si="0"/>
        <v>1071000</v>
      </c>
      <c r="G6" s="37" t="s">
        <v>150</v>
      </c>
      <c r="H6" s="73" t="s">
        <v>149</v>
      </c>
      <c r="I6" s="15" t="s">
        <v>231</v>
      </c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5" t="s">
        <v>168</v>
      </c>
      <c r="B9" s="76"/>
      <c r="C9" s="76"/>
      <c r="D9" s="76"/>
      <c r="E9" s="77"/>
      <c r="F9" s="42">
        <f>SUM(F3:F8)</f>
        <v>3444000</v>
      </c>
      <c r="G9" s="75"/>
      <c r="H9" s="76"/>
      <c r="I9" s="77"/>
    </row>
    <row r="12" spans="1:9">
      <c r="F12" s="46">
        <f>SUM(F4:F6)</f>
        <v>2856000</v>
      </c>
    </row>
    <row r="13" spans="1:9">
      <c r="F13">
        <v>2856000</v>
      </c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E10" sqref="E10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3" t="s">
        <v>5</v>
      </c>
      <c r="B2" s="8" t="s">
        <v>6</v>
      </c>
      <c r="C2" s="28">
        <v>130000</v>
      </c>
      <c r="D2" s="10">
        <f>SUMIF('明細表 '!B:B, B2, '明細表 '!D:D)</f>
        <v>52758</v>
      </c>
      <c r="E2" s="28">
        <f>C2-D2</f>
        <v>77242</v>
      </c>
      <c r="F2" s="11">
        <f>D2/C2</f>
        <v>0.40583076923076922</v>
      </c>
    </row>
    <row r="3" spans="1:7" ht="19.95" customHeight="1">
      <c r="A3" s="84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4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4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4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72589</v>
      </c>
    </row>
    <row r="7" spans="1:7" ht="19.95" customHeight="1">
      <c r="A7" s="85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78" t="s">
        <v>10</v>
      </c>
      <c r="B8" s="79"/>
      <c r="C8" s="9">
        <f>SUM(C2:C7)</f>
        <v>261200</v>
      </c>
      <c r="D8" s="9">
        <f>SUM(D2:D7)</f>
        <v>150305</v>
      </c>
      <c r="E8" s="28">
        <f>C8-D8</f>
        <v>110895</v>
      </c>
      <c r="F8" s="11">
        <f t="shared" si="1"/>
        <v>0.57544027565084221</v>
      </c>
    </row>
    <row r="9" spans="1:7" ht="23.4" customHeight="1">
      <c r="A9" s="86" t="s">
        <v>228</v>
      </c>
      <c r="B9" s="86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6"/>
      <c r="B10" s="86"/>
      <c r="C10" s="9">
        <f>SUMIF('明細表 '!B:B, "待沖帳", '明細表 '!D:D)</f>
        <v>42013</v>
      </c>
      <c r="D10" s="9">
        <f>SUM('明細表 '!E:E)</f>
        <v>39528</v>
      </c>
      <c r="E10" s="28">
        <f>(C10-D10)</f>
        <v>2485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0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1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1"/>
      <c r="B14" s="6"/>
      <c r="C14" s="9" t="s">
        <v>41</v>
      </c>
      <c r="D14" s="9">
        <v>65000</v>
      </c>
      <c r="E14" s="9">
        <f>E2+E5</f>
        <v>77411</v>
      </c>
      <c r="F14" s="23">
        <f>D14-E14</f>
        <v>-12411</v>
      </c>
      <c r="G14" s="22"/>
    </row>
    <row r="15" spans="1:7" ht="46.8">
      <c r="A15" s="81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2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72589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67" activePane="bottomLeft" state="frozen"/>
      <selection pane="bottomLeft" activeCell="K71" sqref="K71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87" t="s">
        <v>117</v>
      </c>
      <c r="K45" s="88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87"/>
      <c r="K46" s="88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/>
      <c r="B72" s="3"/>
      <c r="C72" s="15"/>
      <c r="D72" s="2"/>
      <c r="E72" s="2"/>
      <c r="F72" s="2"/>
      <c r="G72" s="2"/>
      <c r="H72" s="15"/>
      <c r="I72" s="15"/>
      <c r="J72" s="15"/>
      <c r="K72" s="15"/>
    </row>
    <row r="73" spans="1:11">
      <c r="A73" s="6"/>
      <c r="B73" s="3"/>
      <c r="C73" s="15"/>
      <c r="D73" s="2"/>
      <c r="E73" s="2"/>
      <c r="F73" s="2"/>
      <c r="G73" s="2"/>
      <c r="H73" s="15"/>
      <c r="I73" s="15"/>
      <c r="J73" s="15"/>
      <c r="K73" s="15"/>
    </row>
    <row r="74" spans="1:11">
      <c r="A74" s="6"/>
      <c r="B74" s="3"/>
      <c r="C74" s="15"/>
      <c r="D74" s="2"/>
      <c r="E74" s="2"/>
      <c r="F74" s="2"/>
      <c r="G74" s="2"/>
      <c r="H74" s="15"/>
      <c r="I74" s="15"/>
      <c r="J74" s="15"/>
      <c r="K74" s="15"/>
    </row>
    <row r="75" spans="1:11">
      <c r="A75" s="6"/>
      <c r="B75" s="3"/>
      <c r="C75" s="15"/>
      <c r="D75" s="2"/>
      <c r="E75" s="2"/>
      <c r="F75" s="2"/>
      <c r="G75" s="2"/>
      <c r="H75" s="15"/>
      <c r="I75" s="15"/>
      <c r="J75" s="15"/>
      <c r="K75" s="15"/>
    </row>
    <row r="76" spans="1:11">
      <c r="A76" s="6"/>
      <c r="B76" s="3"/>
      <c r="C76" s="15"/>
      <c r="D76" s="2"/>
      <c r="E76" s="2"/>
      <c r="F76" s="2"/>
      <c r="G76" s="2"/>
      <c r="H76" s="15"/>
      <c r="I76" s="15"/>
      <c r="J76" s="15"/>
      <c r="K76" s="15"/>
    </row>
    <row r="77" spans="1:11">
      <c r="A77" s="6"/>
      <c r="B77" s="3"/>
      <c r="C77" s="15"/>
      <c r="D77" s="2"/>
      <c r="E77" s="2"/>
      <c r="F77" s="2"/>
      <c r="G77" s="2"/>
      <c r="H77" s="15"/>
      <c r="I77" s="15"/>
      <c r="J77" s="15"/>
      <c r="K77" s="15"/>
    </row>
    <row r="78" spans="1:11">
      <c r="A78" s="6"/>
      <c r="B78" s="3"/>
      <c r="C78" s="15"/>
      <c r="D78" s="2"/>
      <c r="E78" s="2"/>
      <c r="F78" s="2"/>
      <c r="G78" s="2"/>
      <c r="H78" s="15"/>
      <c r="I78" s="15"/>
      <c r="J78" s="15"/>
      <c r="K78" s="15"/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F4" sqref="F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4" t="s">
        <v>165</v>
      </c>
      <c r="B1" s="74"/>
      <c r="C1" s="74"/>
      <c r="D1" s="74"/>
      <c r="E1" s="74"/>
      <c r="F1" s="74"/>
      <c r="G1" s="74"/>
      <c r="H1" s="74"/>
      <c r="I1" s="74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5" t="s">
        <v>168</v>
      </c>
      <c r="B8" s="76"/>
      <c r="C8" s="76"/>
      <c r="D8" s="76"/>
      <c r="E8" s="77"/>
      <c r="F8" s="42">
        <f>SUM(F3:F7)</f>
        <v>371694</v>
      </c>
      <c r="G8" s="75"/>
      <c r="H8" s="76"/>
      <c r="I8" s="77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F2" sqref="A2:F6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89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89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資本門</vt:lpstr>
      <vt:lpstr>業務費總表</vt:lpstr>
      <vt:lpstr>明細表 </vt:lpstr>
      <vt:lpstr>業務費-租金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2026-09-24T07:51:26Z</dcterms:modified>
</cp:coreProperties>
</file>