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ailcmuhorgtw-my.sharepoint.com/personal/033951_tool_caaumed_org_tw/Documents/CMUH/健康台灣深耕計畫/115年費用核銷/"/>
    </mc:Choice>
  </mc:AlternateContent>
  <xr:revisionPtr revIDLastSave="35" documentId="13_ncr:1_{7FEF0E65-68F6-4302-8D81-69E63E767BEF}" xr6:coauthVersionLast="47" xr6:coauthVersionMax="47" xr10:uidLastSave="{8A50DA01-97BE-4E15-85D6-92CC904A0E10}"/>
  <bookViews>
    <workbookView xWindow="-108" yWindow="-108" windowWidth="23256" windowHeight="12456" activeTab="1" xr2:uid="{00000000-000D-0000-FFFF-FFFF00000000}"/>
  </bookViews>
  <sheets>
    <sheet name="範疇一" sheetId="2" r:id="rId1"/>
    <sheet name="範疇一變更後經費表" sheetId="3" r:id="rId2"/>
  </sheets>
  <definedNames>
    <definedName name="_xlnm._FilterDatabase" localSheetId="0" hidden="1">範疇一!$A$13:$M$43</definedName>
    <definedName name="_xlnm._FilterDatabase" localSheetId="1" hidden="1">範疇一變更後經費表!$A$11:$F$34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3" l="1"/>
  <c r="E21" i="3"/>
  <c r="E20" i="3"/>
  <c r="E15" i="3"/>
  <c r="D14" i="3"/>
  <c r="E14" i="3" s="1"/>
  <c r="D13" i="3"/>
  <c r="E13" i="3" s="1"/>
  <c r="D12" i="3"/>
  <c r="E12" i="3" s="1"/>
  <c r="E8" i="3"/>
  <c r="G42" i="2"/>
  <c r="G43" i="2" s="1"/>
  <c r="G29" i="2"/>
  <c r="G10" i="2"/>
  <c r="E22" i="3" l="1"/>
  <c r="F34" i="3" s="1"/>
  <c r="M41" i="2"/>
  <c r="K28" i="2"/>
  <c r="K27" i="2"/>
  <c r="K22" i="2"/>
  <c r="J19" i="2"/>
  <c r="K19" i="2" s="1"/>
  <c r="J17" i="2"/>
  <c r="K17" i="2" s="1"/>
  <c r="J14" i="2"/>
  <c r="K14" i="2" s="1"/>
  <c r="M9" i="2"/>
  <c r="E7" i="2"/>
  <c r="E6" i="2"/>
  <c r="M29" i="2" l="1"/>
</calcChain>
</file>

<file path=xl/sharedStrings.xml><?xml version="1.0" encoding="utf-8"?>
<sst xmlns="http://schemas.openxmlformats.org/spreadsheetml/2006/main" count="289" uniqueCount="131">
  <si>
    <t>範疇一補助經費(A)</t>
    <phoneticPr fontId="3" type="noConversion"/>
  </si>
  <si>
    <t>原計畫編列</t>
    <phoneticPr fontId="3" type="noConversion"/>
  </si>
  <si>
    <t>變更建議</t>
    <phoneticPr fontId="3" type="noConversion"/>
  </si>
  <si>
    <t>項目</t>
  </si>
  <si>
    <t>單價</t>
  </si>
  <si>
    <t>單位</t>
  </si>
  <si>
    <t>數量</t>
  </si>
  <si>
    <t>合計</t>
  </si>
  <si>
    <t>支用說明或編列基準</t>
  </si>
  <si>
    <r>
      <rPr>
        <sz val="12"/>
        <color theme="1"/>
        <rFont val="標楷體"/>
        <family val="4"/>
        <charset val="136"/>
      </rPr>
      <t>程式設計師</t>
    </r>
  </si>
  <si>
    <r>
      <rPr>
        <sz val="12"/>
        <color theme="1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年</t>
    </r>
    <phoneticPr fontId="11" type="noConversion"/>
  </si>
  <si>
    <r>
      <t>3.75</t>
    </r>
    <r>
      <rPr>
        <sz val="12"/>
        <color theme="1"/>
        <rFont val="標楷體"/>
        <family val="4"/>
        <charset val="136"/>
      </rPr>
      <t>人年</t>
    </r>
    <phoneticPr fontId="11" type="noConversion"/>
  </si>
  <si>
    <r>
      <rPr>
        <sz val="12"/>
        <color rgb="FF000000"/>
        <rFont val="標楷體"/>
        <family val="4"/>
        <charset val="136"/>
      </rPr>
      <t>年薪</t>
    </r>
    <r>
      <rPr>
        <sz val="12"/>
        <color rgb="FF000000"/>
        <rFont val="Times New Roman"/>
        <family val="1"/>
      </rPr>
      <t>783,975</t>
    </r>
    <r>
      <rPr>
        <sz val="12"/>
        <color rgb="FF000000"/>
        <rFont val="標楷體"/>
        <family val="4"/>
        <charset val="136"/>
      </rPr>
      <t>元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含勞健退及保險，年終獎金以</t>
    </r>
    <r>
      <rPr>
        <sz val="12"/>
        <color rgb="FF000000"/>
        <rFont val="Times New Roman"/>
        <family val="1"/>
      </rPr>
      <t>1.5</t>
    </r>
    <r>
      <rPr>
        <sz val="12"/>
        <color rgb="FF000000"/>
        <rFont val="標楷體"/>
        <family val="4"/>
        <charset val="136"/>
      </rPr>
      <t>個月計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《範疇一、二、三、四》</t>
    </r>
    <phoneticPr fontId="11" type="noConversion"/>
  </si>
  <si>
    <t>經與項目負責單位確認已不聘任程式設計師，可釋出 2,939,906 元供總計畫經費運用。</t>
  </si>
  <si>
    <r>
      <rPr>
        <sz val="12"/>
        <color theme="1"/>
        <rFont val="標楷體"/>
        <family val="4"/>
        <charset val="136"/>
      </rPr>
      <t>碩士級研究助理</t>
    </r>
  </si>
  <si>
    <r>
      <t>1.25</t>
    </r>
    <r>
      <rPr>
        <sz val="12"/>
        <color theme="1"/>
        <rFont val="標楷體"/>
        <family val="4"/>
        <charset val="136"/>
      </rPr>
      <t>人年</t>
    </r>
    <phoneticPr fontId="11" type="noConversion"/>
  </si>
  <si>
    <r>
      <rPr>
        <sz val="12"/>
        <color rgb="FF000000"/>
        <rFont val="標楷體"/>
        <family val="4"/>
        <charset val="136"/>
      </rPr>
      <t>年薪</t>
    </r>
    <r>
      <rPr>
        <sz val="12"/>
        <color rgb="FF000000"/>
        <rFont val="Times New Roman"/>
        <family val="1"/>
      </rPr>
      <t>588,349</t>
    </r>
    <r>
      <rPr>
        <sz val="12"/>
        <color rgb="FF000000"/>
        <rFont val="標楷體"/>
        <family val="4"/>
        <charset val="136"/>
      </rPr>
      <t>元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含勞健退及保險，年終獎金以</t>
    </r>
    <r>
      <rPr>
        <sz val="12"/>
        <color rgb="FF000000"/>
        <rFont val="Times New Roman"/>
        <family val="1"/>
      </rPr>
      <t>1.5</t>
    </r>
    <r>
      <rPr>
        <sz val="12"/>
        <color rgb="FF000000"/>
        <rFont val="標楷體"/>
        <family val="4"/>
        <charset val="136"/>
      </rPr>
      <t>個月計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《範疇一、二、三、四》</t>
    </r>
    <phoneticPr fontId="11" type="noConversion"/>
  </si>
  <si>
    <t>研究助理到職前之經費預算，可釋出 245,145 元供總計畫經費運用。</t>
  </si>
  <si>
    <t>獎金</t>
  </si>
  <si>
    <t>留任獎金及醫學中心職涯發展獎金：護理師(ICU、手術室、病房及非輪三班單位)、醫檢師、放射師每季獎勵在職留任人員，依職類及單位別設置獎金基準</t>
  </si>
  <si>
    <t>計畫執行人員獎勵：
1、考量計畫編制人員聘任不易，計畫工作皆由現職人員承接，擬將人事未用經費轉換分配現職人員及科室，肯定同仁付出。
2、獎勵方式區分為「個人獎勵」及「科室獎勵」二類，其原則如下：
(1)個人獎勵：依人員職責、工作負荷、共同執行人數、計畫執行期間及計畫KPI達成情形核發。訂有6類17級
(2)科室獎勵：針對統籌單位、範疇負責科室及計畫執行科室，依業務重要性、執行成果、參與人數及執行期間核發，依負責業務分為4級，由各單位依貢獻度提報分配名單及原則，經審核後核發。</t>
  </si>
  <si>
    <r>
      <rPr>
        <b/>
        <sz val="14"/>
        <color theme="1"/>
        <rFont val="標楷體"/>
        <family val="4"/>
        <charset val="136"/>
      </rPr>
      <t>業務費</t>
    </r>
    <r>
      <rPr>
        <b/>
        <sz val="14"/>
        <color theme="1"/>
        <rFont val="Times New Roman"/>
        <family val="1"/>
      </rPr>
      <t>(D)</t>
    </r>
  </si>
  <si>
    <t>租金</t>
  </si>
  <si>
    <t>台/月</t>
    <phoneticPr fontId="11" type="noConversion"/>
  </si>
  <si>
    <t>28台、13個月</t>
    <phoneticPr fontId="11" type="noConversion"/>
  </si>
  <si>
    <t>《範疇一》目標3-AI機器人引進：機器人使用租金(AI照護型)*50台*13個月(22台由本院自籌)</t>
    <phoneticPr fontId="11" type="noConversion"/>
  </si>
  <si>
    <r>
      <rPr>
        <sz val="14"/>
        <rFont val="標楷體"/>
        <family val="4"/>
        <charset val="136"/>
      </rPr>
      <t>租金</t>
    </r>
  </si>
  <si>
    <r>
      <rPr>
        <sz val="14"/>
        <rFont val="標楷體"/>
        <family val="4"/>
        <charset val="136"/>
      </rPr>
      <t>台</t>
    </r>
    <r>
      <rPr>
        <sz val="14"/>
        <rFont val="Times New Roman"/>
        <family val="1"/>
      </rPr>
      <t>/</t>
    </r>
    <r>
      <rPr>
        <sz val="14"/>
        <rFont val="標楷體"/>
        <family val="4"/>
        <charset val="136"/>
      </rPr>
      <t>月</t>
    </r>
    <phoneticPr fontId="11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</si>
  <si>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3-AI</t>
    </r>
    <r>
      <rPr>
        <sz val="14"/>
        <color theme="1"/>
        <rFont val="標楷體"/>
        <family val="4"/>
        <charset val="136"/>
      </rPr>
      <t>機器人引進：機器人使用租金</t>
    </r>
    <r>
      <rPr>
        <sz val="14"/>
        <color theme="1"/>
        <rFont val="Times New Roman"/>
        <family val="1"/>
      </rPr>
      <t>(AI</t>
    </r>
    <r>
      <rPr>
        <sz val="14"/>
        <color theme="1"/>
        <rFont val="標楷體"/>
        <family val="4"/>
        <charset val="136"/>
      </rPr>
      <t>照護型</t>
    </r>
    <r>
      <rPr>
        <sz val="14"/>
        <color theme="1"/>
        <rFont val="Times New Roman"/>
        <family val="1"/>
      </rPr>
      <t>)*50</t>
    </r>
    <r>
      <rPr>
        <sz val="14"/>
        <color theme="1"/>
        <rFont val="標楷體"/>
        <family val="4"/>
        <charset val="136"/>
      </rPr>
      <t>台</t>
    </r>
    <r>
      <rPr>
        <sz val="14"/>
        <color theme="1"/>
        <rFont val="Times New Roman"/>
        <family val="1"/>
      </rPr>
      <t>*5.7</t>
    </r>
    <r>
      <rPr>
        <sz val="14"/>
        <color theme="1"/>
        <rFont val="標楷體"/>
        <family val="4"/>
        <charset val="136"/>
      </rPr>
      <t>個月</t>
    </r>
    <phoneticPr fontId="3" type="noConversion"/>
  </si>
  <si>
    <t>權利使用費</t>
  </si>
  <si>
    <t>項</t>
    <phoneticPr fontId="11" type="noConversion"/>
  </si>
  <si>
    <t>1項</t>
    <phoneticPr fontId="11" type="noConversion"/>
  </si>
  <si>
    <t>《範疇一》目標3-AI機器人引進：機器人權利使用費</t>
  </si>
  <si>
    <t>電腦處理費</t>
  </si>
  <si>
    <t>年</t>
    <phoneticPr fontId="11" type="noConversion"/>
  </si>
  <si>
    <t>1年</t>
    <phoneticPr fontId="11" type="noConversion"/>
  </si>
  <si>
    <t>《範疇一》目標3-AI機器人引進：機器人導入電腦處理費</t>
    <phoneticPr fontId="11" type="noConversion"/>
  </si>
  <si>
    <t>租金</t>
    <phoneticPr fontId="11" type="noConversion"/>
  </si>
  <si>
    <t>-</t>
    <phoneticPr fontId="11" type="noConversion"/>
  </si>
  <si>
    <t>《範疇一》目標2-人工智慧模型：手術室排程預測與管理系統租金</t>
    <phoneticPr fontId="11" type="noConversion"/>
  </si>
  <si>
    <r>
      <rPr>
        <sz val="14"/>
        <color theme="1"/>
        <rFont val="標楷體"/>
        <family val="4"/>
        <charset val="136"/>
      </rPr>
      <t>月</t>
    </r>
    <phoneticPr fontId="11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</si>
  <si>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2-</t>
    </r>
    <r>
      <rPr>
        <sz val="14"/>
        <color theme="1"/>
        <rFont val="標楷體"/>
        <family val="4"/>
        <charset val="136"/>
      </rPr>
      <t>人工智慧模型：手術室排程預測與管理系統租金</t>
    </r>
    <phoneticPr fontId="3" type="noConversion"/>
  </si>
  <si>
    <r>
      <rPr>
        <sz val="14"/>
        <color theme="1"/>
        <rFont val="標楷體"/>
        <family val="4"/>
        <charset val="136"/>
      </rPr>
      <t>租金</t>
    </r>
    <phoneticPr fontId="11" type="noConversion"/>
  </si>
  <si>
    <t>《範疇一》目標2-人工智慧模型：藥物推薦與整合平台租金</t>
    <phoneticPr fontId="11" type="noConversion"/>
  </si>
  <si>
    <t>《範疇一》目標1-建置「員工智管家App」：員工智管家App租金</t>
    <phoneticPr fontId="11" type="noConversion"/>
  </si>
  <si>
    <r>
      <rPr>
        <sz val="14"/>
        <rFont val="標楷體"/>
        <family val="4"/>
        <charset val="136"/>
      </rPr>
      <t>租金</t>
    </r>
    <phoneticPr fontId="11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</si>
  <si>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1-</t>
    </r>
    <r>
      <rPr>
        <sz val="14"/>
        <color theme="1"/>
        <rFont val="標楷體"/>
        <family val="4"/>
        <charset val="136"/>
      </rPr>
      <t>建置「員工智管家</t>
    </r>
    <r>
      <rPr>
        <sz val="14"/>
        <color theme="1"/>
        <rFont val="Times New Roman"/>
        <family val="1"/>
      </rPr>
      <t>App</t>
    </r>
    <r>
      <rPr>
        <sz val="14"/>
        <color theme="1"/>
        <rFont val="標楷體"/>
        <family val="4"/>
        <charset val="136"/>
      </rPr>
      <t>」：員工智管家</t>
    </r>
    <r>
      <rPr>
        <sz val="14"/>
        <color theme="1"/>
        <rFont val="Times New Roman"/>
        <family val="1"/>
      </rPr>
      <t>App</t>
    </r>
    <r>
      <rPr>
        <sz val="14"/>
        <color theme="1"/>
        <rFont val="標楷體"/>
        <family val="4"/>
        <charset val="136"/>
      </rPr>
      <t>租金</t>
    </r>
  </si>
  <si>
    <t>《範疇一》目標2-企業資源規劃系統：ERP系統租金(114.12刪除研發工程師1名、增加2名採購人員後剩餘人事費挪移17,382元</t>
    <phoneticPr fontId="11" type="noConversion"/>
  </si>
  <si>
    <t>《範疇一》目標2-企業資源規劃系統：合作機構ERP系統租金</t>
    <phoneticPr fontId="11" type="noConversion"/>
  </si>
  <si>
    <t>《範疇一》目標2-人工智慧模型：急診室AI檢傷分類戰情室租金</t>
    <phoneticPr fontId="11" type="noConversion"/>
  </si>
  <si>
    <r>
      <rPr>
        <sz val="14"/>
        <color rgb="FF000000"/>
        <rFont val="標楷體"/>
        <family val="4"/>
        <charset val="136"/>
      </rPr>
      <t>《範疇一》目標</t>
    </r>
    <r>
      <rPr>
        <sz val="14"/>
        <color rgb="FF000000"/>
        <rFont val="Times New Roman"/>
        <family val="1"/>
      </rPr>
      <t>2-</t>
    </r>
    <r>
      <rPr>
        <sz val="14"/>
        <color rgb="FF000000"/>
        <rFont val="標楷體"/>
        <family val="4"/>
        <charset val="136"/>
      </rPr>
      <t>人工智慧模型：急診室</t>
    </r>
    <r>
      <rPr>
        <sz val="14"/>
        <color rgb="FF000000"/>
        <rFont val="Times New Roman"/>
        <family val="1"/>
      </rPr>
      <t>AI</t>
    </r>
    <r>
      <rPr>
        <sz val="14"/>
        <color rgb="FF000000"/>
        <rFont val="標楷體"/>
        <family val="4"/>
        <charset val="136"/>
      </rPr>
      <t>檢傷分類戰情室租金</t>
    </r>
  </si>
  <si>
    <t>餐費</t>
  </si>
  <si>
    <t>人</t>
  </si>
  <si>
    <t xml:space="preserve">
各範疇每月1次會議
各範疇會議30人*100元*15個月
</t>
    <phoneticPr fontId="11" type="noConversion"/>
  </si>
  <si>
    <t>人</t>
    <phoneticPr fontId="3" type="noConversion"/>
  </si>
  <si>
    <t xml:space="preserve">&lt;經費流用並增加餐費&gt;
範疇一每月2次會議
各範疇會議30人*140元*2次*15個月
初估126,000元，將經費補足至130,000元
</t>
    <phoneticPr fontId="11" type="noConversion"/>
  </si>
  <si>
    <t>雜支費</t>
    <phoneticPr fontId="11" type="noConversion"/>
  </si>
  <si>
    <t>-</t>
  </si>
  <si>
    <t>執行本計畫相關雜項支出</t>
    <phoneticPr fontId="11" type="noConversion"/>
  </si>
  <si>
    <t>文具紙張</t>
  </si>
  <si>
    <t>批</t>
  </si>
  <si>
    <t>執行計畫所需油墨、碳粉匣、紙張、文具等費用</t>
    <phoneticPr fontId="11" type="noConversion"/>
  </si>
  <si>
    <t>印刷</t>
    <phoneticPr fontId="11" type="noConversion"/>
  </si>
  <si>
    <r>
      <rPr>
        <sz val="14"/>
        <color rgb="FF000000"/>
        <rFont val="標楷體"/>
        <family val="4"/>
        <charset val="136"/>
      </rPr>
      <t>批</t>
    </r>
    <phoneticPr fontId="11" type="noConversion"/>
  </si>
  <si>
    <t>執行計畫所需書表影印、印裝費</t>
    <phoneticPr fontId="11" type="noConversion"/>
  </si>
  <si>
    <t>批</t>
    <phoneticPr fontId="11" type="noConversion"/>
  </si>
  <si>
    <t>&lt;經費流用&gt;
經估計執行計畫所需書表影印、印裝費已符合目前計畫使用需求，可流用支應其他業務費項目</t>
    <phoneticPr fontId="3" type="noConversion"/>
  </si>
  <si>
    <t>出席費</t>
    <phoneticPr fontId="11" type="noConversion"/>
  </si>
  <si>
    <r>
      <rPr>
        <sz val="14"/>
        <color rgb="FF000000"/>
        <rFont val="標楷體"/>
        <family val="4"/>
        <charset val="136"/>
      </rPr>
      <t>人</t>
    </r>
    <phoneticPr fontId="11" type="noConversion"/>
  </si>
  <si>
    <t>審查/評審會議委員出席費</t>
    <phoneticPr fontId="11" type="noConversion"/>
  </si>
  <si>
    <t>&lt;經費流用並增列出席費&gt;
自業務費剩餘費用挪用
因計畫原漏編列評選會外部委員出席審查費用2,500元/人/次，因此須編列預算90,000元，並自業務費調移。</t>
    <phoneticPr fontId="3" type="noConversion"/>
  </si>
  <si>
    <t>國內旅費</t>
    <phoneticPr fontId="3" type="noConversion"/>
  </si>
  <si>
    <t>實施本計畫所需相關人員及出席專家之國內旅費。
台北-台中 高鐵費675人/單趟
宜蘭-台北 台鐵費306人/單趟</t>
    <phoneticPr fontId="3" type="noConversion"/>
  </si>
  <si>
    <t>&lt;經費流用並增列國內旅費&gt;
實施本計畫所需相關人員及出席專家之國內旅費。
估算剩餘2次會議委員出席所用。
台北-台中 高鐵費675人/單趟
宜蘭-台北 台鐵費306人/單趟
，並自業務費調移。</t>
    <phoneticPr fontId="3" type="noConversion"/>
  </si>
  <si>
    <t>AI排班與加班預測系統(70%尾款)</t>
  </si>
  <si>
    <t>《範疇一》目標1-導入AI排班與加班預測系統</t>
  </si>
  <si>
    <r>
      <t>AI</t>
    </r>
    <r>
      <rPr>
        <sz val="14"/>
        <color theme="1"/>
        <rFont val="標楷體"/>
        <family val="4"/>
        <charset val="136"/>
      </rPr>
      <t>排班與加班預測系統</t>
    </r>
    <r>
      <rPr>
        <sz val="14"/>
        <color theme="1"/>
        <rFont val="Times New Roman"/>
        <family val="1"/>
      </rPr>
      <t>(70%</t>
    </r>
    <r>
      <rPr>
        <sz val="14"/>
        <color theme="1"/>
        <rFont val="標楷體"/>
        <family val="4"/>
        <charset val="136"/>
      </rPr>
      <t>尾款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</si>
  <si>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標楷體"/>
        <family val="4"/>
        <charset val="136"/>
      </rPr>
      <t>項</t>
    </r>
    <phoneticPr fontId="11" type="noConversion"/>
  </si>
  <si>
    <r>
      <rPr>
        <sz val="14"/>
        <color rgb="FF000000"/>
        <rFont val="標楷體"/>
        <family val="4"/>
        <charset val="136"/>
      </rPr>
      <t>《範疇一》目標</t>
    </r>
    <r>
      <rPr>
        <sz val="14"/>
        <color rgb="FF000000"/>
        <rFont val="Times New Roman"/>
        <family val="1"/>
      </rPr>
      <t>1-</t>
    </r>
    <r>
      <rPr>
        <sz val="14"/>
        <color rgb="FF000000"/>
        <rFont val="標楷體"/>
        <family val="4"/>
        <charset val="136"/>
      </rPr>
      <t>導入</t>
    </r>
    <r>
      <rPr>
        <sz val="14"/>
        <color rgb="FF000000"/>
        <rFont val="Times New Roman"/>
        <family val="1"/>
      </rPr>
      <t>AI</t>
    </r>
    <r>
      <rPr>
        <sz val="14"/>
        <color rgb="FF000000"/>
        <rFont val="標楷體"/>
        <family val="4"/>
        <charset val="136"/>
      </rPr>
      <t>排班與加班預測系統</t>
    </r>
  </si>
  <si>
    <t>AI排班與加班預測系統(30%簽約金)</t>
  </si>
  <si>
    <t xml:space="preserve">《範疇一》目標1-導入AI排班與加班預測系統 </t>
  </si>
  <si>
    <r>
      <t>AI</t>
    </r>
    <r>
      <rPr>
        <sz val="14"/>
        <color theme="1"/>
        <rFont val="標楷體"/>
        <family val="4"/>
        <charset val="136"/>
      </rPr>
      <t>排班與加班預測系統</t>
    </r>
    <r>
      <rPr>
        <sz val="14"/>
        <color theme="1"/>
        <rFont val="Times New Roman"/>
        <family val="1"/>
      </rPr>
      <t>(30%</t>
    </r>
    <r>
      <rPr>
        <sz val="14"/>
        <color theme="1"/>
        <rFont val="標楷體"/>
        <family val="4"/>
        <charset val="136"/>
      </rPr>
      <t>簽約金</t>
    </r>
    <r>
      <rPr>
        <sz val="14"/>
        <color theme="1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</si>
  <si>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《範疇一》目標</t>
    </r>
    <r>
      <rPr>
        <sz val="14"/>
        <color rgb="FF000000"/>
        <rFont val="Times New Roman"/>
        <family val="1"/>
      </rPr>
      <t>1-</t>
    </r>
    <r>
      <rPr>
        <sz val="14"/>
        <color rgb="FF000000"/>
        <rFont val="標楷體"/>
        <family val="4"/>
        <charset val="136"/>
      </rPr>
      <t>導入</t>
    </r>
    <r>
      <rPr>
        <sz val="14"/>
        <color rgb="FF000000"/>
        <rFont val="Times New Roman"/>
        <family val="1"/>
      </rPr>
      <t>AI</t>
    </r>
    <r>
      <rPr>
        <sz val="14"/>
        <color rgb="FF000000"/>
        <rFont val="標楷體"/>
        <family val="4"/>
        <charset val="136"/>
      </rPr>
      <t>排班與加班預測系統</t>
    </r>
    <r>
      <rPr>
        <sz val="14"/>
        <color rgb="FF000000"/>
        <rFont val="Times New Roman"/>
        <family val="1"/>
      </rPr>
      <t xml:space="preserve"> </t>
    </r>
  </si>
  <si>
    <t>定位點班系統</t>
  </si>
  <si>
    <t>《範疇一》目標3-增加點班定位系統：定位點班所需</t>
  </si>
  <si>
    <t>議價後決標金額較預算低，可釋出40,000元供總計畫經費運用。</t>
    <phoneticPr fontId="3" type="noConversion"/>
  </si>
  <si>
    <t>iListen員工脈動平台(30%簽約)</t>
    <phoneticPr fontId="11" type="noConversion"/>
  </si>
  <si>
    <t>《範疇一》目標1-iListen員工脈動平台</t>
  </si>
  <si>
    <r>
      <t>iListen</t>
    </r>
    <r>
      <rPr>
        <sz val="14"/>
        <color theme="1"/>
        <rFont val="標楷體"/>
        <family val="4"/>
        <charset val="136"/>
      </rPr>
      <t>員工脈動平台</t>
    </r>
    <r>
      <rPr>
        <sz val="14"/>
        <color theme="1"/>
        <rFont val="Times New Roman"/>
        <family val="1"/>
      </rPr>
      <t>(30%</t>
    </r>
    <r>
      <rPr>
        <sz val="14"/>
        <color theme="1"/>
        <rFont val="標楷體"/>
        <family val="4"/>
        <charset val="136"/>
      </rPr>
      <t>簽約</t>
    </r>
    <r>
      <rPr>
        <sz val="14"/>
        <color theme="1"/>
        <rFont val="Times New Roman"/>
        <family val="1"/>
      </rPr>
      <t>)</t>
    </r>
    <phoneticPr fontId="11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</si>
  <si>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1-iListen</t>
    </r>
    <r>
      <rPr>
        <sz val="14"/>
        <color theme="1"/>
        <rFont val="標楷體"/>
        <family val="4"/>
        <charset val="136"/>
      </rPr>
      <t>員工脈動平台</t>
    </r>
  </si>
  <si>
    <t>iListen員工脈動平台(70%尾款)</t>
    <phoneticPr fontId="11" type="noConversion"/>
  </si>
  <si>
    <r>
      <t>iListen</t>
    </r>
    <r>
      <rPr>
        <sz val="14"/>
        <color theme="1"/>
        <rFont val="標楷體"/>
        <family val="4"/>
        <charset val="136"/>
      </rPr>
      <t>員工脈動平台</t>
    </r>
    <r>
      <rPr>
        <sz val="14"/>
        <color theme="1"/>
        <rFont val="Times New Roman"/>
        <family val="1"/>
      </rPr>
      <t>(70%</t>
    </r>
    <r>
      <rPr>
        <sz val="14"/>
        <color theme="1"/>
        <rFont val="標楷體"/>
        <family val="4"/>
        <charset val="136"/>
      </rPr>
      <t>尾款</t>
    </r>
    <r>
      <rPr>
        <sz val="14"/>
        <color theme="1"/>
        <rFont val="Times New Roman"/>
        <family val="1"/>
      </rPr>
      <t>)</t>
    </r>
    <phoneticPr fontId="11" type="noConversion"/>
  </si>
  <si>
    <t>全自動掃描機</t>
  </si>
  <si>
    <t>個</t>
    <phoneticPr fontId="11" type="noConversion"/>
  </si>
  <si>
    <t>《範疇一》目標3-導入數位病理系統：數位病理專案所需 (剩餘款由本院自籌)</t>
    <phoneticPr fontId="11" type="noConversion"/>
  </si>
  <si>
    <t>個</t>
  </si>
  <si>
    <t>智能磅秤</t>
    <phoneticPr fontId="11" type="noConversion"/>
  </si>
  <si>
    <t>《範疇一》目標3-擴大科技投資降低工作負荷-智慧量測系統</t>
  </si>
  <si>
    <r>
      <rPr>
        <sz val="14"/>
        <color theme="1"/>
        <rFont val="標楷體"/>
        <family val="4"/>
        <charset val="136"/>
      </rPr>
      <t>智能磅秤</t>
    </r>
  </si>
  <si>
    <r>
      <rPr>
        <sz val="14"/>
        <color theme="1"/>
        <rFont val="標楷體"/>
        <family val="4"/>
        <charset val="136"/>
      </rPr>
      <t>個</t>
    </r>
    <phoneticPr fontId="11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</si>
  <si>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3-</t>
    </r>
    <r>
      <rPr>
        <sz val="14"/>
        <color theme="1"/>
        <rFont val="標楷體"/>
        <family val="4"/>
        <charset val="136"/>
      </rPr>
      <t>擴大科技投資降低工作負荷</t>
    </r>
    <r>
      <rPr>
        <sz val="14"/>
        <color theme="1"/>
        <rFont val="Times New Roman"/>
        <family val="1"/>
      </rPr>
      <t>-</t>
    </r>
    <r>
      <rPr>
        <sz val="14"/>
        <color theme="1"/>
        <rFont val="標楷體"/>
        <family val="4"/>
        <charset val="136"/>
      </rPr>
      <t>智慧量測系統</t>
    </r>
  </si>
  <si>
    <t>錄音設備</t>
  </si>
  <si>
    <t>《範疇一》執行目標3-護理智慧問答系統所需</t>
  </si>
  <si>
    <t>&lt;刪除此筆費用&gt;
經與項目負責單位確認已不須購置錄音設備，可釋出160,000元供總計畫經費運用。</t>
    <phoneticPr fontId="3" type="noConversion"/>
  </si>
  <si>
    <r>
      <t>ERP</t>
    </r>
    <r>
      <rPr>
        <sz val="14"/>
        <color theme="1"/>
        <rFont val="標楷體"/>
        <family val="4"/>
        <charset val="136"/>
      </rPr>
      <t>系統</t>
    </r>
    <phoneticPr fontId="3" type="noConversion"/>
  </si>
  <si>
    <r>
      <rPr>
        <sz val="14"/>
        <color theme="1"/>
        <rFont val="標楷體"/>
        <family val="4"/>
        <charset val="136"/>
      </rPr>
      <t>項</t>
    </r>
    <phoneticPr fontId="3" type="noConversion"/>
  </si>
  <si>
    <r>
      <rPr>
        <sz val="14"/>
        <color theme="1"/>
        <rFont val="標楷體"/>
        <family val="4"/>
        <charset val="136"/>
      </rPr>
      <t>《範疇一》目標</t>
    </r>
    <r>
      <rPr>
        <sz val="14"/>
        <color theme="1"/>
        <rFont val="Times New Roman"/>
        <family val="1"/>
      </rPr>
      <t>2-</t>
    </r>
    <r>
      <rPr>
        <sz val="14"/>
        <color theme="1"/>
        <rFont val="標楷體"/>
        <family val="4"/>
        <charset val="136"/>
      </rPr>
      <t>企業資源規劃系統：</t>
    </r>
    <r>
      <rPr>
        <sz val="14"/>
        <color theme="1"/>
        <rFont val="Times New Roman"/>
        <family val="1"/>
      </rPr>
      <t>ERP</t>
    </r>
    <r>
      <rPr>
        <sz val="14"/>
        <color theme="1"/>
        <rFont val="標楷體"/>
        <family val="4"/>
        <charset val="136"/>
      </rPr>
      <t>系統</t>
    </r>
    <phoneticPr fontId="11" type="noConversion"/>
  </si>
  <si>
    <t>範疇一總剩餘經費結餘</t>
    <phoneticPr fontId="11" type="noConversion"/>
  </si>
  <si>
    <t>《範疇一》目標3-導入數位病理系統：數位病理專案所需 (剩餘款由本院自籌)</t>
    <phoneticPr fontId="3" type="noConversion"/>
  </si>
  <si>
    <r>
      <rPr>
        <b/>
        <sz val="14"/>
        <color theme="1"/>
        <rFont val="標楷體"/>
        <family val="4"/>
        <charset val="136"/>
      </rPr>
      <t>經常門</t>
    </r>
    <r>
      <rPr>
        <b/>
        <sz val="14"/>
        <color theme="1"/>
        <rFont val="Times New Roman"/>
        <family val="1"/>
      </rPr>
      <t>(B)</t>
    </r>
    <phoneticPr fontId="3" type="noConversion"/>
  </si>
  <si>
    <t>經常門(B)</t>
  </si>
  <si>
    <r>
      <rPr>
        <b/>
        <sz val="14"/>
        <color theme="1"/>
        <rFont val="標楷體"/>
        <family val="4"/>
        <charset val="136"/>
      </rPr>
      <t>人事費</t>
    </r>
    <r>
      <rPr>
        <b/>
        <sz val="14"/>
        <color theme="1"/>
        <rFont val="Times New Roman"/>
        <family val="1"/>
      </rPr>
      <t>(C)</t>
    </r>
    <phoneticPr fontId="3" type="noConversion"/>
  </si>
  <si>
    <t>人事費(C)</t>
  </si>
  <si>
    <t>人事費合計</t>
    <phoneticPr fontId="3" type="noConversion"/>
  </si>
  <si>
    <t>碩士級研究助理</t>
  </si>
  <si>
    <r>
      <rPr>
        <sz val="14"/>
        <rFont val="標楷體"/>
        <family val="4"/>
        <charset val="136"/>
      </rPr>
      <t>台/月</t>
    </r>
    <phoneticPr fontId="11" type="noConversion"/>
  </si>
  <si>
    <t>《範疇一》目標3-AI機器人引進：機器人使用租金(AI照護型)*50台*5.7個月</t>
    <phoneticPr fontId="3" type="noConversion"/>
  </si>
  <si>
    <t>《範疇一》目標2-人工智慧模型：手術室排程預測與管理系統租金</t>
    <phoneticPr fontId="3" type="noConversion"/>
  </si>
  <si>
    <t>《範疇一》目標1-建置「員工智管家App」：員工智管家App租金</t>
  </si>
  <si>
    <t>《範疇一》目標2-人工智慧模型：急診室AI檢傷分類戰情室租金</t>
  </si>
  <si>
    <r>
      <rPr>
        <sz val="14"/>
        <color rgb="FF000000"/>
        <rFont val="標楷體"/>
        <family val="4"/>
        <charset val="136"/>
      </rPr>
      <t>《範疇一》目標1-導入AI排班與加班預測系統</t>
    </r>
  </si>
  <si>
    <r>
      <rPr>
        <sz val="14"/>
        <color rgb="FF000000"/>
        <rFont val="標楷體"/>
        <family val="4"/>
        <charset val="136"/>
      </rPr>
      <t xml:space="preserve">《範疇一》目標1-導入AI排班與加班預測系統 </t>
    </r>
  </si>
  <si>
    <t>智能磅秤</t>
  </si>
  <si>
    <t>ERP系統</t>
    <phoneticPr fontId="3" type="noConversion"/>
  </si>
  <si>
    <t>項</t>
    <phoneticPr fontId="3" type="noConversion"/>
  </si>
  <si>
    <t>《範疇一》目標2-企業資源規劃系統：ERP系統</t>
    <phoneticPr fontId="11" type="noConversion"/>
  </si>
  <si>
    <t>業務費合計</t>
    <phoneticPr fontId="3" type="noConversion"/>
  </si>
  <si>
    <r>
      <rPr>
        <b/>
        <sz val="16"/>
        <color theme="1"/>
        <rFont val="標楷體"/>
        <family val="4"/>
        <charset val="136"/>
      </rPr>
      <t>資本門</t>
    </r>
    <r>
      <rPr>
        <b/>
        <sz val="16"/>
        <color theme="1"/>
        <rFont val="Times New Roman"/>
        <family val="1"/>
      </rPr>
      <t>(E)</t>
    </r>
    <phoneticPr fontId="3" type="noConversion"/>
  </si>
  <si>
    <t>資本門€</t>
    <phoneticPr fontId="3" type="noConversion"/>
  </si>
  <si>
    <t>資本門合計</t>
    <phoneticPr fontId="3" type="noConversion"/>
  </si>
  <si>
    <t>範疇一總計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</si>
</sst>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-* #,##0_-;\-* #,##0_-;_-* &quot;-&quot;??_-;_-@_-"/>
    <numFmt numFmtId="177" formatCode="0.0"/>
    <numFmt numFmtId="178" formatCode="#,##0_ "/>
    <numFmt numFmtId="179" formatCode="_-* #,##0.0_-;\-* #,##0.0_-;_-* &quot;-&quot;??_-;_-@_-"/>
  </numFmts>
  <fonts count="2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8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4"/>
      <charset val="136"/>
    </font>
    <font>
      <sz val="14"/>
      <name val="Times New Roman"/>
      <family val="1"/>
    </font>
    <font>
      <sz val="14"/>
      <name val="Times New Roman"/>
      <family val="4"/>
      <charset val="136"/>
    </font>
    <font>
      <sz val="14"/>
      <color theme="1"/>
      <name val="Times New Roman"/>
      <family val="4"/>
      <charset val="136"/>
    </font>
    <font>
      <sz val="14"/>
      <color rgb="FF00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4"/>
      <color theme="1"/>
      <name val="Times New Roman"/>
      <family val="4"/>
      <charset val="136"/>
    </font>
    <font>
      <b/>
      <sz val="16"/>
      <color theme="1"/>
      <name val="Times New Roman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43">
    <xf numFmtId="0" fontId="0" fillId="0" borderId="0" xfId="0"/>
    <xf numFmtId="0" fontId="2" fillId="2" borderId="1" xfId="0" applyFont="1" applyFill="1" applyBorder="1" applyAlignment="1">
      <alignment horizontal="centerContinuous" vertical="center" wrapText="1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Continuous" vertical="center" wrapText="1"/>
    </xf>
    <xf numFmtId="0" fontId="5" fillId="4" borderId="1" xfId="0" applyFont="1" applyFill="1" applyBorder="1" applyAlignment="1">
      <alignment horizontal="centerContinuous" vertical="center" wrapText="1"/>
    </xf>
    <xf numFmtId="0" fontId="6" fillId="4" borderId="1" xfId="0" applyFont="1" applyFill="1" applyBorder="1" applyAlignment="1">
      <alignment horizontal="centerContinuous" vertical="center" wrapText="1"/>
    </xf>
    <xf numFmtId="0" fontId="6" fillId="5" borderId="1" xfId="0" applyFont="1" applyFill="1" applyBorder="1" applyAlignment="1">
      <alignment horizontal="centerContinuous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6" fontId="12" fillId="0" borderId="1" xfId="1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5" borderId="1" xfId="0" applyFont="1" applyFill="1" applyBorder="1" applyAlignment="1">
      <alignment horizontal="left" vertical="center" wrapText="1"/>
    </xf>
    <xf numFmtId="3" fontId="15" fillId="5" borderId="1" xfId="0" applyNumberFormat="1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38" fontId="8" fillId="6" borderId="1" xfId="0" applyNumberFormat="1" applyFont="1" applyFill="1" applyBorder="1" applyAlignment="1">
      <alignment horizontal="right" vertical="center" wrapText="1"/>
    </xf>
    <xf numFmtId="176" fontId="8" fillId="6" borderId="1" xfId="1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176" fontId="4" fillId="5" borderId="1" xfId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left" vertical="center" wrapText="1"/>
    </xf>
    <xf numFmtId="178" fontId="9" fillId="0" borderId="0" xfId="0" applyNumberFormat="1" applyFont="1" applyAlignment="1">
      <alignment vertical="center"/>
    </xf>
    <xf numFmtId="176" fontId="9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38" fontId="13" fillId="0" borderId="1" xfId="1" applyNumberFormat="1" applyFont="1" applyBorder="1" applyAlignment="1">
      <alignment horizontal="right" vertical="center" wrapText="1"/>
    </xf>
    <xf numFmtId="176" fontId="8" fillId="0" borderId="1" xfId="1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8" fontId="8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179" fontId="15" fillId="5" borderId="1" xfId="0" applyNumberFormat="1" applyFont="1" applyFill="1" applyBorder="1" applyAlignment="1">
      <alignment horizontal="right" vertical="center" wrapText="1"/>
    </xf>
    <xf numFmtId="176" fontId="15" fillId="5" borderId="1" xfId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38" fontId="8" fillId="6" borderId="1" xfId="1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38" fontId="8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 wrapText="1"/>
    </xf>
    <xf numFmtId="38" fontId="8" fillId="4" borderId="1" xfId="1" applyNumberFormat="1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38" fontId="7" fillId="6" borderId="1" xfId="1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38" fontId="7" fillId="4" borderId="1" xfId="1" applyNumberFormat="1" applyFont="1" applyFill="1" applyBorder="1" applyAlignment="1">
      <alignment horizontal="right" vertical="center" wrapText="1"/>
    </xf>
    <xf numFmtId="176" fontId="15" fillId="5" borderId="1" xfId="0" applyNumberFormat="1" applyFont="1" applyFill="1" applyBorder="1" applyAlignment="1">
      <alignment horizontal="right" vertical="center" wrapText="1"/>
    </xf>
    <xf numFmtId="0" fontId="20" fillId="5" borderId="1" xfId="0" applyFont="1" applyFill="1" applyBorder="1" applyAlignment="1">
      <alignment horizontal="left" vertical="center" wrapText="1"/>
    </xf>
    <xf numFmtId="38" fontId="13" fillId="6" borderId="1" xfId="1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38" fontId="7" fillId="0" borderId="1" xfId="1" applyNumberFormat="1" applyFont="1" applyBorder="1" applyAlignment="1">
      <alignment horizontal="right" vertical="center" wrapText="1"/>
    </xf>
    <xf numFmtId="38" fontId="7" fillId="0" borderId="1" xfId="1" applyNumberFormat="1" applyFont="1" applyFill="1" applyBorder="1" applyAlignment="1">
      <alignment horizontal="right" vertical="center" wrapText="1"/>
    </xf>
    <xf numFmtId="38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8" fontId="7" fillId="0" borderId="1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21" fillId="3" borderId="4" xfId="0" applyFont="1" applyFill="1" applyBorder="1" applyAlignment="1">
      <alignment horizontal="centerContinuous" vertical="center" wrapText="1"/>
    </xf>
    <xf numFmtId="0" fontId="21" fillId="3" borderId="2" xfId="0" applyFont="1" applyFill="1" applyBorder="1" applyAlignment="1">
      <alignment horizontal="centerContinuous" vertical="center" wrapText="1"/>
    </xf>
    <xf numFmtId="38" fontId="13" fillId="0" borderId="1" xfId="1" applyNumberFormat="1" applyFont="1" applyFill="1" applyBorder="1" applyAlignment="1">
      <alignment horizontal="right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176" fontId="20" fillId="5" borderId="1" xfId="1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176" fontId="20" fillId="5" borderId="1" xfId="1" applyNumberFormat="1" applyFont="1" applyFill="1" applyBorder="1" applyAlignment="1">
      <alignment vertical="center" wrapText="1"/>
    </xf>
    <xf numFmtId="38" fontId="18" fillId="0" borderId="1" xfId="1" applyNumberFormat="1" applyFont="1" applyBorder="1" applyAlignment="1">
      <alignment horizontal="right" vertical="center" wrapText="1"/>
    </xf>
    <xf numFmtId="38" fontId="8" fillId="0" borderId="1" xfId="1" applyNumberFormat="1" applyFont="1" applyFill="1" applyBorder="1" applyAlignment="1">
      <alignment horizontal="right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38" fontId="20" fillId="5" borderId="1" xfId="1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vertical="center"/>
    </xf>
    <xf numFmtId="176" fontId="7" fillId="0" borderId="1" xfId="1" applyNumberFormat="1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76" fontId="4" fillId="5" borderId="1" xfId="1" applyNumberFormat="1" applyFont="1" applyFill="1" applyBorder="1" applyAlignment="1">
      <alignment horizontal="center" vertical="center" wrapText="1"/>
    </xf>
    <xf numFmtId="0" fontId="23" fillId="0" borderId="0" xfId="0" applyFont="1"/>
    <xf numFmtId="0" fontId="18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Continuous" vertical="center" wrapText="1"/>
    </xf>
    <xf numFmtId="0" fontId="24" fillId="4" borderId="1" xfId="0" applyFont="1" applyFill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76" fontId="13" fillId="0" borderId="1" xfId="1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3" fontId="8" fillId="5" borderId="1" xfId="0" applyNumberFormat="1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/>
    </xf>
    <xf numFmtId="176" fontId="7" fillId="5" borderId="1" xfId="1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right" vertical="center" wrapText="1"/>
    </xf>
    <xf numFmtId="179" fontId="8" fillId="5" borderId="1" xfId="0" applyNumberFormat="1" applyFont="1" applyFill="1" applyBorder="1" applyAlignment="1">
      <alignment horizontal="right" vertical="center" wrapText="1"/>
    </xf>
    <xf numFmtId="176" fontId="8" fillId="5" borderId="1" xfId="1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horizontal="centerContinuous" vertical="center" wrapText="1"/>
    </xf>
    <xf numFmtId="0" fontId="22" fillId="3" borderId="2" xfId="0" applyFont="1" applyFill="1" applyBorder="1" applyAlignment="1">
      <alignment horizontal="centerContinuous" vertical="center" wrapText="1"/>
    </xf>
    <xf numFmtId="176" fontId="18" fillId="5" borderId="1" xfId="1" applyNumberFormat="1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 wrapText="1"/>
    </xf>
    <xf numFmtId="176" fontId="18" fillId="5" borderId="1" xfId="1" applyNumberFormat="1" applyFont="1" applyFill="1" applyBorder="1" applyAlignment="1">
      <alignment vertical="center" wrapText="1"/>
    </xf>
    <xf numFmtId="38" fontId="18" fillId="5" borderId="1" xfId="1" applyNumberFormat="1" applyFont="1" applyFill="1" applyBorder="1" applyAlignment="1">
      <alignment horizontal="right" vertical="center" wrapText="1"/>
    </xf>
    <xf numFmtId="176" fontId="7" fillId="5" borderId="1" xfId="1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Continuous" vertical="center" wrapText="1"/>
    </xf>
    <xf numFmtId="176" fontId="7" fillId="0" borderId="1" xfId="0" applyNumberFormat="1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332A-B0C8-4C8D-8415-272C9724BEFC}">
  <dimension ref="A1:O43"/>
  <sheetViews>
    <sheetView topLeftCell="A26" zoomScale="70" zoomScaleNormal="70" workbookViewId="0">
      <selection activeCell="A30" sqref="A30"/>
    </sheetView>
  </sheetViews>
  <sheetFormatPr defaultRowHeight="15" x14ac:dyDescent="0.3"/>
  <cols>
    <col min="1" max="1" width="23.875" customWidth="1"/>
    <col min="2" max="2" width="17.875" customWidth="1"/>
    <col min="3" max="3" width="7.5" bestFit="1" customWidth="1"/>
    <col min="4" max="4" width="20.125" bestFit="1" customWidth="1"/>
    <col min="5" max="5" width="21.5" customWidth="1"/>
    <col min="6" max="6" width="50.75" bestFit="1" customWidth="1"/>
    <col min="7" max="8" width="18.75" customWidth="1"/>
    <col min="9" max="9" width="9" customWidth="1"/>
    <col min="10" max="10" width="15.875" customWidth="1"/>
    <col min="11" max="11" width="27.125" bestFit="1" customWidth="1"/>
    <col min="12" max="12" width="45.625" customWidth="1"/>
    <col min="13" max="13" width="18.5" customWidth="1"/>
    <col min="15" max="15" width="24.875" bestFit="1" customWidth="1"/>
  </cols>
  <sheetData>
    <row r="1" spans="1:15" s="2" customFormat="1" ht="25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s="2" customFormat="1" ht="18" customHeight="1" x14ac:dyDescent="0.3">
      <c r="A2" s="89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5" s="2" customFormat="1" ht="18" customHeight="1" x14ac:dyDescent="0.3">
      <c r="A3" s="90" t="s">
        <v>111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5" s="7" customFormat="1" ht="19.8" x14ac:dyDescent="0.3">
      <c r="A4" s="5" t="s">
        <v>1</v>
      </c>
      <c r="B4" s="5"/>
      <c r="C4" s="5"/>
      <c r="D4" s="5"/>
      <c r="E4" s="5"/>
      <c r="F4" s="5"/>
      <c r="G4" s="6" t="s">
        <v>2</v>
      </c>
      <c r="H4" s="6"/>
      <c r="I4" s="6"/>
      <c r="J4" s="6"/>
      <c r="K4" s="6"/>
      <c r="L4" s="6"/>
    </row>
    <row r="5" spans="1:15" s="9" customFormat="1" ht="19.8" x14ac:dyDescent="0.3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8" t="s">
        <v>8</v>
      </c>
    </row>
    <row r="6" spans="1:15" s="16" customFormat="1" ht="46.8" x14ac:dyDescent="0.3">
      <c r="A6" s="10" t="s">
        <v>9</v>
      </c>
      <c r="B6" s="11">
        <v>783975</v>
      </c>
      <c r="C6" s="10" t="s">
        <v>10</v>
      </c>
      <c r="D6" s="10" t="s">
        <v>11</v>
      </c>
      <c r="E6" s="11">
        <f>B6*3.75</f>
        <v>2939906.25</v>
      </c>
      <c r="F6" s="12" t="s">
        <v>12</v>
      </c>
      <c r="G6" s="13"/>
      <c r="H6" s="13"/>
      <c r="I6" s="13"/>
      <c r="J6" s="13"/>
      <c r="K6" s="13">
        <v>0</v>
      </c>
      <c r="L6" s="14" t="s">
        <v>13</v>
      </c>
      <c r="M6" s="15"/>
    </row>
    <row r="7" spans="1:15" s="16" customFormat="1" ht="32.4" x14ac:dyDescent="0.3">
      <c r="A7" s="10" t="s">
        <v>14</v>
      </c>
      <c r="B7" s="11">
        <v>588349</v>
      </c>
      <c r="C7" s="10" t="s">
        <v>10</v>
      </c>
      <c r="D7" s="10" t="s">
        <v>15</v>
      </c>
      <c r="E7" s="11">
        <f>B7*1.25</f>
        <v>735436.25</v>
      </c>
      <c r="F7" s="12" t="s">
        <v>16</v>
      </c>
      <c r="G7" s="13"/>
      <c r="H7" s="13"/>
      <c r="I7" s="13"/>
      <c r="J7" s="13"/>
      <c r="K7" s="17">
        <v>484811</v>
      </c>
      <c r="L7" s="18" t="s">
        <v>17</v>
      </c>
      <c r="M7" s="15"/>
    </row>
    <row r="8" spans="1:15" s="16" customFormat="1" ht="90" x14ac:dyDescent="0.3">
      <c r="A8" s="10"/>
      <c r="B8" s="11"/>
      <c r="C8" s="10"/>
      <c r="D8" s="10"/>
      <c r="E8" s="11"/>
      <c r="F8" s="12"/>
      <c r="G8" s="19" t="s">
        <v>18</v>
      </c>
      <c r="H8" s="20"/>
      <c r="I8" s="21"/>
      <c r="J8" s="22"/>
      <c r="K8" s="20">
        <v>32506430</v>
      </c>
      <c r="L8" s="23" t="s">
        <v>19</v>
      </c>
      <c r="M8" s="15"/>
    </row>
    <row r="9" spans="1:15" s="16" customFormat="1" ht="306" x14ac:dyDescent="0.3">
      <c r="A9" s="10"/>
      <c r="B9" s="11"/>
      <c r="C9" s="10"/>
      <c r="D9" s="10"/>
      <c r="E9" s="11"/>
      <c r="F9" s="12"/>
      <c r="G9" s="19" t="s">
        <v>18</v>
      </c>
      <c r="H9" s="20"/>
      <c r="I9" s="21"/>
      <c r="J9" s="22"/>
      <c r="K9" s="20">
        <v>15133300</v>
      </c>
      <c r="L9" s="24" t="s">
        <v>20</v>
      </c>
      <c r="M9" s="15">
        <f>SUM(K6:K9)</f>
        <v>48124541</v>
      </c>
    </row>
    <row r="10" spans="1:15" s="16" customFormat="1" ht="19.8" x14ac:dyDescent="0.3">
      <c r="A10" s="10"/>
      <c r="B10" s="11"/>
      <c r="C10" s="10"/>
      <c r="D10" s="10"/>
      <c r="E10" s="11"/>
      <c r="F10" s="12"/>
      <c r="G10" s="125">
        <f>SUM(K6:K9)</f>
        <v>48124541</v>
      </c>
      <c r="H10" s="126"/>
      <c r="I10" s="126"/>
      <c r="J10" s="126"/>
      <c r="K10" s="126"/>
      <c r="L10" s="127"/>
      <c r="M10" s="15"/>
    </row>
    <row r="11" spans="1:15" s="2" customFormat="1" ht="18" customHeight="1" x14ac:dyDescent="0.3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5" s="7" customFormat="1" ht="19.8" x14ac:dyDescent="0.3">
      <c r="A12" s="5" t="s">
        <v>1</v>
      </c>
      <c r="B12" s="5"/>
      <c r="C12" s="5"/>
      <c r="D12" s="5"/>
      <c r="E12" s="5"/>
      <c r="F12" s="5"/>
      <c r="G12" s="6" t="s">
        <v>2</v>
      </c>
      <c r="H12" s="6"/>
      <c r="I12" s="6"/>
      <c r="J12" s="6"/>
      <c r="K12" s="6"/>
      <c r="L12" s="6"/>
    </row>
    <row r="13" spans="1:15" s="9" customFormat="1" ht="19.8" x14ac:dyDescent="0.3">
      <c r="A13" s="8" t="s">
        <v>3</v>
      </c>
      <c r="B13" s="8" t="s">
        <v>4</v>
      </c>
      <c r="C13" s="8" t="s">
        <v>5</v>
      </c>
      <c r="D13" s="8" t="s">
        <v>6</v>
      </c>
      <c r="E13" s="8" t="s">
        <v>7</v>
      </c>
      <c r="F13" s="8" t="s">
        <v>8</v>
      </c>
      <c r="G13" s="8" t="s">
        <v>3</v>
      </c>
      <c r="H13" s="8" t="s">
        <v>4</v>
      </c>
      <c r="I13" s="8" t="s">
        <v>5</v>
      </c>
      <c r="J13" s="8" t="s">
        <v>6</v>
      </c>
      <c r="K13" s="8" t="s">
        <v>7</v>
      </c>
      <c r="L13" s="8" t="s">
        <v>8</v>
      </c>
    </row>
    <row r="14" spans="1:15" s="9" customFormat="1" ht="187.05" customHeight="1" x14ac:dyDescent="0.3">
      <c r="A14" s="25" t="s">
        <v>22</v>
      </c>
      <c r="B14" s="26">
        <v>48000</v>
      </c>
      <c r="C14" s="25" t="s">
        <v>23</v>
      </c>
      <c r="D14" s="25" t="s">
        <v>24</v>
      </c>
      <c r="E14" s="27">
        <v>17472000</v>
      </c>
      <c r="F14" s="28" t="s">
        <v>25</v>
      </c>
      <c r="G14" s="29" t="s">
        <v>26</v>
      </c>
      <c r="H14" s="30">
        <v>47789</v>
      </c>
      <c r="I14" s="31" t="s">
        <v>27</v>
      </c>
      <c r="J14" s="32">
        <f>(22/31+5)*50</f>
        <v>285.48387096774195</v>
      </c>
      <c r="K14" s="30">
        <f>J14*H14</f>
        <v>13642988.709677421</v>
      </c>
      <c r="L14" s="33" t="s">
        <v>28</v>
      </c>
      <c r="M14" s="34"/>
      <c r="O14" s="35"/>
    </row>
    <row r="15" spans="1:15" s="9" customFormat="1" ht="56.55" customHeight="1" x14ac:dyDescent="0.3">
      <c r="A15" s="36" t="s">
        <v>29</v>
      </c>
      <c r="B15" s="37">
        <v>1602000</v>
      </c>
      <c r="C15" s="36" t="s">
        <v>30</v>
      </c>
      <c r="D15" s="36" t="s">
        <v>31</v>
      </c>
      <c r="E15" s="38">
        <v>1602000</v>
      </c>
      <c r="F15" s="39" t="s">
        <v>32</v>
      </c>
      <c r="G15" s="40"/>
      <c r="H15" s="41"/>
      <c r="I15" s="40"/>
      <c r="J15" s="40"/>
      <c r="K15" s="41"/>
      <c r="L15" s="42"/>
      <c r="M15" s="34"/>
    </row>
    <row r="16" spans="1:15" s="9" customFormat="1" ht="64.05" customHeight="1" x14ac:dyDescent="0.3">
      <c r="A16" s="36" t="s">
        <v>33</v>
      </c>
      <c r="B16" s="37">
        <v>1068000</v>
      </c>
      <c r="C16" s="36" t="s">
        <v>34</v>
      </c>
      <c r="D16" s="36" t="s">
        <v>35</v>
      </c>
      <c r="E16" s="38">
        <v>1068000</v>
      </c>
      <c r="F16" s="39" t="s">
        <v>36</v>
      </c>
      <c r="G16" s="40"/>
      <c r="H16" s="41"/>
      <c r="I16" s="40"/>
      <c r="J16" s="40"/>
      <c r="K16" s="41"/>
      <c r="L16" s="42"/>
      <c r="M16" s="34"/>
    </row>
    <row r="17" spans="1:13" s="9" customFormat="1" ht="39.6" x14ac:dyDescent="0.3">
      <c r="A17" s="36" t="s">
        <v>37</v>
      </c>
      <c r="B17" s="37">
        <v>4400400</v>
      </c>
      <c r="C17" s="36" t="s">
        <v>38</v>
      </c>
      <c r="D17" s="36" t="s">
        <v>38</v>
      </c>
      <c r="E17" s="38">
        <v>4400400</v>
      </c>
      <c r="F17" s="39" t="s">
        <v>39</v>
      </c>
      <c r="G17" s="29" t="s">
        <v>26</v>
      </c>
      <c r="H17" s="43">
        <v>349167</v>
      </c>
      <c r="I17" s="21" t="s">
        <v>40</v>
      </c>
      <c r="J17" s="44">
        <f>1/31+5</f>
        <v>5.032258064516129</v>
      </c>
      <c r="K17" s="45">
        <f>J17*H17</f>
        <v>1757098.4516129033</v>
      </c>
      <c r="L17" s="46" t="s">
        <v>41</v>
      </c>
      <c r="M17" s="34"/>
    </row>
    <row r="18" spans="1:13" s="9" customFormat="1" ht="39.6" x14ac:dyDescent="0.3">
      <c r="A18" s="25" t="s">
        <v>42</v>
      </c>
      <c r="B18" s="47">
        <v>1580000</v>
      </c>
      <c r="C18" s="25" t="s">
        <v>38</v>
      </c>
      <c r="D18" s="25" t="s">
        <v>38</v>
      </c>
      <c r="E18" s="27">
        <v>1580000</v>
      </c>
      <c r="F18" s="48" t="s">
        <v>43</v>
      </c>
      <c r="G18" s="36"/>
      <c r="H18" s="49"/>
      <c r="I18" s="36"/>
      <c r="J18" s="36"/>
      <c r="K18" s="49"/>
      <c r="L18" s="50"/>
      <c r="M18" s="34"/>
    </row>
    <row r="19" spans="1:13" s="9" customFormat="1" ht="39.6" x14ac:dyDescent="0.3">
      <c r="A19" s="8" t="s">
        <v>22</v>
      </c>
      <c r="B19" s="37">
        <v>5925500</v>
      </c>
      <c r="C19" s="8" t="s">
        <v>30</v>
      </c>
      <c r="D19" s="8" t="s">
        <v>31</v>
      </c>
      <c r="E19" s="38">
        <v>5925500</v>
      </c>
      <c r="F19" s="40" t="s">
        <v>44</v>
      </c>
      <c r="G19" s="19" t="s">
        <v>45</v>
      </c>
      <c r="H19" s="51">
        <v>685714</v>
      </c>
      <c r="I19" s="21" t="s">
        <v>40</v>
      </c>
      <c r="J19" s="44">
        <f>(31-12)/31+4</f>
        <v>4.612903225806452</v>
      </c>
      <c r="K19" s="30">
        <f>J19*H19</f>
        <v>3163132.3225806453</v>
      </c>
      <c r="L19" s="46" t="s">
        <v>46</v>
      </c>
      <c r="M19" s="34"/>
    </row>
    <row r="20" spans="1:13" s="9" customFormat="1" ht="79.2" x14ac:dyDescent="0.3">
      <c r="A20" s="25" t="s">
        <v>37</v>
      </c>
      <c r="B20" s="47">
        <v>15017382</v>
      </c>
      <c r="C20" s="25" t="s">
        <v>38</v>
      </c>
      <c r="D20" s="25" t="s">
        <v>38</v>
      </c>
      <c r="E20" s="27">
        <v>15017382</v>
      </c>
      <c r="F20" s="28" t="s">
        <v>47</v>
      </c>
      <c r="G20" s="52"/>
      <c r="H20" s="53"/>
      <c r="I20" s="52"/>
      <c r="J20" s="52"/>
      <c r="K20" s="53"/>
      <c r="L20" s="54"/>
      <c r="M20" s="34"/>
    </row>
    <row r="21" spans="1:13" s="9" customFormat="1" ht="39.6" x14ac:dyDescent="0.3">
      <c r="A21" s="55" t="s">
        <v>37</v>
      </c>
      <c r="B21" s="56">
        <v>5000000</v>
      </c>
      <c r="C21" s="55" t="s">
        <v>38</v>
      </c>
      <c r="D21" s="55" t="s">
        <v>38</v>
      </c>
      <c r="E21" s="27">
        <v>5000000</v>
      </c>
      <c r="F21" s="48" t="s">
        <v>48</v>
      </c>
      <c r="G21" s="57"/>
      <c r="H21" s="58"/>
      <c r="I21" s="57"/>
      <c r="J21" s="57"/>
      <c r="K21" s="58"/>
      <c r="L21" s="54"/>
      <c r="M21" s="34"/>
    </row>
    <row r="22" spans="1:13" s="9" customFormat="1" ht="39.6" x14ac:dyDescent="0.3">
      <c r="A22" s="36" t="s">
        <v>37</v>
      </c>
      <c r="B22" s="37">
        <v>720000</v>
      </c>
      <c r="C22" s="36" t="s">
        <v>38</v>
      </c>
      <c r="D22" s="36" t="s">
        <v>38</v>
      </c>
      <c r="E22" s="38">
        <v>720000</v>
      </c>
      <c r="F22" s="39" t="s">
        <v>49</v>
      </c>
      <c r="G22" s="19" t="s">
        <v>45</v>
      </c>
      <c r="H22" s="43">
        <v>56667</v>
      </c>
      <c r="I22" s="21" t="s">
        <v>40</v>
      </c>
      <c r="J22" s="59">
        <v>4</v>
      </c>
      <c r="K22" s="30">
        <f t="shared" ref="K22" si="0">J22*H22</f>
        <v>226668</v>
      </c>
      <c r="L22" s="60" t="s">
        <v>50</v>
      </c>
      <c r="M22" s="34"/>
    </row>
    <row r="23" spans="1:13" s="9" customFormat="1" ht="138.6" x14ac:dyDescent="0.3">
      <c r="A23" s="8" t="s">
        <v>51</v>
      </c>
      <c r="B23" s="61">
        <v>140</v>
      </c>
      <c r="C23" s="62" t="s">
        <v>52</v>
      </c>
      <c r="D23" s="62"/>
      <c r="E23" s="27">
        <v>45000</v>
      </c>
      <c r="F23" s="63" t="s">
        <v>53</v>
      </c>
      <c r="G23" s="8" t="s">
        <v>51</v>
      </c>
      <c r="H23" s="37">
        <v>140</v>
      </c>
      <c r="I23" s="64" t="s">
        <v>54</v>
      </c>
      <c r="J23" s="64"/>
      <c r="K23" s="65">
        <v>130000</v>
      </c>
      <c r="L23" s="50" t="s">
        <v>55</v>
      </c>
      <c r="M23" s="34"/>
    </row>
    <row r="24" spans="1:13" s="9" customFormat="1" ht="19.8" x14ac:dyDescent="0.3">
      <c r="A24" s="64" t="s">
        <v>56</v>
      </c>
      <c r="B24" s="37"/>
      <c r="C24" s="64" t="s">
        <v>57</v>
      </c>
      <c r="D24" s="64" t="s">
        <v>57</v>
      </c>
      <c r="E24" s="38">
        <v>20000</v>
      </c>
      <c r="F24" s="39" t="s">
        <v>58</v>
      </c>
      <c r="G24" s="64" t="s">
        <v>56</v>
      </c>
      <c r="H24" s="37"/>
      <c r="I24" s="64" t="s">
        <v>57</v>
      </c>
      <c r="J24" s="64" t="s">
        <v>57</v>
      </c>
      <c r="K24" s="38">
        <v>20000</v>
      </c>
      <c r="L24" s="39" t="s">
        <v>58</v>
      </c>
      <c r="M24" s="34"/>
    </row>
    <row r="25" spans="1:13" s="9" customFormat="1" ht="39.6" x14ac:dyDescent="0.3">
      <c r="A25" s="64" t="s">
        <v>59</v>
      </c>
      <c r="B25" s="37"/>
      <c r="C25" s="64" t="s">
        <v>60</v>
      </c>
      <c r="D25" s="64">
        <v>1</v>
      </c>
      <c r="E25" s="38">
        <v>150000</v>
      </c>
      <c r="F25" s="39" t="s">
        <v>61</v>
      </c>
      <c r="G25" s="64" t="s">
        <v>59</v>
      </c>
      <c r="H25" s="37"/>
      <c r="I25" s="64" t="s">
        <v>60</v>
      </c>
      <c r="J25" s="64">
        <v>1</v>
      </c>
      <c r="K25" s="38">
        <v>7000</v>
      </c>
      <c r="L25" s="39" t="s">
        <v>61</v>
      </c>
      <c r="M25" s="34"/>
    </row>
    <row r="26" spans="1:13" s="9" customFormat="1" ht="79.2" x14ac:dyDescent="0.3">
      <c r="A26" s="25" t="s">
        <v>62</v>
      </c>
      <c r="B26" s="47"/>
      <c r="C26" s="25" t="s">
        <v>63</v>
      </c>
      <c r="D26" s="25">
        <v>1</v>
      </c>
      <c r="E26" s="27">
        <v>50000</v>
      </c>
      <c r="F26" s="28" t="s">
        <v>64</v>
      </c>
      <c r="G26" s="36" t="s">
        <v>62</v>
      </c>
      <c r="H26" s="66"/>
      <c r="I26" s="36" t="s">
        <v>65</v>
      </c>
      <c r="J26" s="36">
        <v>1</v>
      </c>
      <c r="K26" s="67">
        <v>10000</v>
      </c>
      <c r="L26" s="68" t="s">
        <v>66</v>
      </c>
      <c r="M26" s="34"/>
    </row>
    <row r="27" spans="1:13" s="9" customFormat="1" ht="118.8" x14ac:dyDescent="0.3">
      <c r="A27" s="25" t="s">
        <v>67</v>
      </c>
      <c r="B27" s="47">
        <v>2500</v>
      </c>
      <c r="C27" s="25" t="s">
        <v>68</v>
      </c>
      <c r="D27" s="25"/>
      <c r="E27" s="27">
        <v>0</v>
      </c>
      <c r="F27" s="28" t="s">
        <v>69</v>
      </c>
      <c r="G27" s="36" t="s">
        <v>67</v>
      </c>
      <c r="H27" s="69">
        <v>2500</v>
      </c>
      <c r="I27" s="36" t="s">
        <v>52</v>
      </c>
      <c r="J27" s="36">
        <v>36</v>
      </c>
      <c r="K27" s="69">
        <f>H27*J27</f>
        <v>90000</v>
      </c>
      <c r="L27" s="70" t="s">
        <v>70</v>
      </c>
      <c r="M27" s="34"/>
    </row>
    <row r="28" spans="1:13" s="9" customFormat="1" ht="138.6" x14ac:dyDescent="0.3">
      <c r="A28" s="25" t="s">
        <v>71</v>
      </c>
      <c r="B28" s="47"/>
      <c r="C28" s="25"/>
      <c r="D28" s="25"/>
      <c r="E28" s="27">
        <v>0</v>
      </c>
      <c r="F28" s="28" t="s">
        <v>72</v>
      </c>
      <c r="G28" s="8" t="s">
        <v>71</v>
      </c>
      <c r="H28" s="69">
        <v>1400</v>
      </c>
      <c r="I28" s="36"/>
      <c r="J28" s="36">
        <v>3</v>
      </c>
      <c r="K28" s="69">
        <f>J28*H28</f>
        <v>4200</v>
      </c>
      <c r="L28" s="70" t="s">
        <v>73</v>
      </c>
      <c r="M28" s="34"/>
    </row>
    <row r="29" spans="1:13" s="9" customFormat="1" ht="39.6" customHeight="1" x14ac:dyDescent="0.3">
      <c r="A29" s="128"/>
      <c r="B29" s="128"/>
      <c r="C29" s="128"/>
      <c r="D29" s="128"/>
      <c r="E29" s="128"/>
      <c r="F29" s="128"/>
      <c r="G29" s="122">
        <f>SUM(K14:K28)</f>
        <v>19051087.483870968</v>
      </c>
      <c r="H29" s="123"/>
      <c r="I29" s="123"/>
      <c r="J29" s="123"/>
      <c r="K29" s="123"/>
      <c r="L29" s="124"/>
      <c r="M29" s="15">
        <f>SUM(K14:K28)</f>
        <v>19051087.483870968</v>
      </c>
    </row>
    <row r="30" spans="1:13" s="16" customFormat="1" ht="31.8" customHeight="1" x14ac:dyDescent="0.3">
      <c r="A30" s="118" t="s">
        <v>127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3" s="7" customFormat="1" ht="19.8" x14ac:dyDescent="0.3">
      <c r="A31" s="5" t="s">
        <v>1</v>
      </c>
      <c r="B31" s="5"/>
      <c r="C31" s="5"/>
      <c r="D31" s="5"/>
      <c r="E31" s="5"/>
      <c r="F31" s="5"/>
      <c r="G31" s="6" t="s">
        <v>2</v>
      </c>
      <c r="H31" s="6"/>
      <c r="I31" s="6"/>
      <c r="J31" s="6"/>
      <c r="K31" s="6"/>
      <c r="L31" s="6"/>
    </row>
    <row r="32" spans="1:13" s="9" customFormat="1" ht="19.8" x14ac:dyDescent="0.3">
      <c r="A32" s="8" t="s">
        <v>3</v>
      </c>
      <c r="B32" s="8" t="s">
        <v>4</v>
      </c>
      <c r="C32" s="8" t="s">
        <v>5</v>
      </c>
      <c r="D32" s="8" t="s">
        <v>6</v>
      </c>
      <c r="E32" s="8" t="s">
        <v>7</v>
      </c>
      <c r="F32" s="8" t="s">
        <v>8</v>
      </c>
      <c r="G32" s="8" t="s">
        <v>3</v>
      </c>
      <c r="H32" s="8" t="s">
        <v>4</v>
      </c>
      <c r="I32" s="8" t="s">
        <v>5</v>
      </c>
      <c r="J32" s="8" t="s">
        <v>6</v>
      </c>
      <c r="K32" s="8" t="s">
        <v>7</v>
      </c>
      <c r="L32" s="8" t="s">
        <v>8</v>
      </c>
    </row>
    <row r="33" spans="1:13" s="9" customFormat="1" ht="59.4" x14ac:dyDescent="0.3">
      <c r="A33" s="36" t="s">
        <v>74</v>
      </c>
      <c r="B33" s="73">
        <v>2480625</v>
      </c>
      <c r="C33" s="36" t="s">
        <v>30</v>
      </c>
      <c r="D33" s="36">
        <v>1</v>
      </c>
      <c r="E33" s="74">
        <v>2480625</v>
      </c>
      <c r="F33" s="39" t="s">
        <v>75</v>
      </c>
      <c r="G33" s="46" t="s">
        <v>76</v>
      </c>
      <c r="H33" s="75">
        <v>2499000</v>
      </c>
      <c r="I33" s="76" t="s">
        <v>77</v>
      </c>
      <c r="J33" s="77">
        <v>1</v>
      </c>
      <c r="K33" s="78">
        <v>2499000</v>
      </c>
      <c r="L33" s="46" t="s">
        <v>78</v>
      </c>
      <c r="M33" s="34"/>
    </row>
    <row r="34" spans="1:13" s="9" customFormat="1" ht="59.4" x14ac:dyDescent="0.3">
      <c r="A34" s="36" t="s">
        <v>79</v>
      </c>
      <c r="B34" s="73">
        <v>1063125</v>
      </c>
      <c r="C34" s="36" t="s">
        <v>30</v>
      </c>
      <c r="D34" s="36">
        <v>1</v>
      </c>
      <c r="E34" s="74">
        <v>1063125</v>
      </c>
      <c r="F34" s="39" t="s">
        <v>80</v>
      </c>
      <c r="G34" s="46" t="s">
        <v>81</v>
      </c>
      <c r="H34" s="75">
        <v>1071000</v>
      </c>
      <c r="I34" s="76" t="s">
        <v>77</v>
      </c>
      <c r="J34" s="77">
        <v>1</v>
      </c>
      <c r="K34" s="78">
        <v>1071000</v>
      </c>
      <c r="L34" s="46" t="s">
        <v>82</v>
      </c>
      <c r="M34" s="34"/>
    </row>
    <row r="35" spans="1:13" s="9" customFormat="1" ht="39.6" x14ac:dyDescent="0.3">
      <c r="A35" s="36" t="s">
        <v>83</v>
      </c>
      <c r="B35" s="73">
        <v>2000000</v>
      </c>
      <c r="C35" s="36" t="s">
        <v>30</v>
      </c>
      <c r="D35" s="36">
        <v>1</v>
      </c>
      <c r="E35" s="74">
        <v>2000000</v>
      </c>
      <c r="F35" s="39" t="s">
        <v>84</v>
      </c>
      <c r="G35" s="36" t="s">
        <v>83</v>
      </c>
      <c r="H35" s="79">
        <v>1960000</v>
      </c>
      <c r="I35" s="36" t="s">
        <v>30</v>
      </c>
      <c r="J35" s="36">
        <v>1</v>
      </c>
      <c r="K35" s="79">
        <v>1960000</v>
      </c>
      <c r="L35" s="68" t="s">
        <v>85</v>
      </c>
      <c r="M35" s="34"/>
    </row>
    <row r="36" spans="1:13" s="9" customFormat="1" ht="59.4" x14ac:dyDescent="0.3">
      <c r="A36" s="36" t="s">
        <v>86</v>
      </c>
      <c r="B36" s="80">
        <v>220500</v>
      </c>
      <c r="C36" s="36" t="s">
        <v>38</v>
      </c>
      <c r="D36" s="36" t="s">
        <v>38</v>
      </c>
      <c r="E36" s="81">
        <v>220500</v>
      </c>
      <c r="F36" s="39" t="s">
        <v>87</v>
      </c>
      <c r="G36" s="46" t="s">
        <v>88</v>
      </c>
      <c r="H36" s="82">
        <v>216000</v>
      </c>
      <c r="I36" s="76" t="s">
        <v>38</v>
      </c>
      <c r="J36" s="77" t="s">
        <v>38</v>
      </c>
      <c r="K36" s="82">
        <v>216000</v>
      </c>
      <c r="L36" s="46" t="s">
        <v>89</v>
      </c>
      <c r="M36" s="34"/>
    </row>
    <row r="37" spans="1:13" s="9" customFormat="1" ht="59.4" x14ac:dyDescent="0.3">
      <c r="A37" s="36" t="s">
        <v>90</v>
      </c>
      <c r="B37" s="73">
        <v>514500</v>
      </c>
      <c r="C37" s="36" t="s">
        <v>38</v>
      </c>
      <c r="D37" s="36" t="s">
        <v>38</v>
      </c>
      <c r="E37" s="81">
        <v>514500</v>
      </c>
      <c r="F37" s="39" t="s">
        <v>87</v>
      </c>
      <c r="G37" s="46" t="s">
        <v>91</v>
      </c>
      <c r="H37" s="82">
        <v>504000</v>
      </c>
      <c r="I37" s="76" t="s">
        <v>38</v>
      </c>
      <c r="J37" s="77" t="s">
        <v>38</v>
      </c>
      <c r="K37" s="82">
        <v>504000</v>
      </c>
      <c r="L37" s="46" t="s">
        <v>89</v>
      </c>
      <c r="M37" s="34"/>
    </row>
    <row r="38" spans="1:13" s="9" customFormat="1" ht="59.4" x14ac:dyDescent="0.3">
      <c r="A38" s="36" t="s">
        <v>92</v>
      </c>
      <c r="B38" s="80">
        <v>11700000</v>
      </c>
      <c r="C38" s="36" t="s">
        <v>93</v>
      </c>
      <c r="D38" s="36">
        <v>1</v>
      </c>
      <c r="E38" s="74">
        <v>3039601</v>
      </c>
      <c r="F38" s="50" t="s">
        <v>94</v>
      </c>
      <c r="G38" s="83" t="s">
        <v>92</v>
      </c>
      <c r="H38" s="83">
        <v>8500000</v>
      </c>
      <c r="I38" s="83" t="s">
        <v>95</v>
      </c>
      <c r="J38" s="83">
        <v>1</v>
      </c>
      <c r="K38" s="84">
        <v>3281539</v>
      </c>
      <c r="L38" s="68" t="s">
        <v>108</v>
      </c>
    </row>
    <row r="39" spans="1:13" s="9" customFormat="1" ht="39.6" x14ac:dyDescent="0.3">
      <c r="A39" s="36" t="s">
        <v>96</v>
      </c>
      <c r="B39" s="66">
        <v>27000</v>
      </c>
      <c r="C39" s="36" t="s">
        <v>93</v>
      </c>
      <c r="D39" s="36">
        <v>50</v>
      </c>
      <c r="E39" s="74">
        <v>1350000</v>
      </c>
      <c r="F39" s="39" t="s">
        <v>97</v>
      </c>
      <c r="G39" s="29" t="s">
        <v>98</v>
      </c>
      <c r="H39" s="82">
        <v>740000</v>
      </c>
      <c r="I39" s="76" t="s">
        <v>99</v>
      </c>
      <c r="J39" s="77">
        <v>50</v>
      </c>
      <c r="K39" s="82">
        <v>740000</v>
      </c>
      <c r="L39" s="46" t="s">
        <v>100</v>
      </c>
    </row>
    <row r="40" spans="1:13" s="9" customFormat="1" ht="79.2" x14ac:dyDescent="0.3">
      <c r="A40" s="36" t="s">
        <v>101</v>
      </c>
      <c r="B40" s="73">
        <v>160000</v>
      </c>
      <c r="C40" s="36" t="s">
        <v>93</v>
      </c>
      <c r="D40" s="36">
        <v>1</v>
      </c>
      <c r="E40" s="74">
        <v>160000</v>
      </c>
      <c r="F40" s="39" t="s">
        <v>102</v>
      </c>
      <c r="G40" s="36" t="s">
        <v>101</v>
      </c>
      <c r="H40" s="73"/>
      <c r="I40" s="36"/>
      <c r="J40" s="83"/>
      <c r="K40" s="85">
        <v>0</v>
      </c>
      <c r="L40" s="68" t="s">
        <v>103</v>
      </c>
      <c r="M40" s="34"/>
    </row>
    <row r="41" spans="1:13" s="9" customFormat="1" ht="39.6" x14ac:dyDescent="0.3">
      <c r="A41" s="36"/>
      <c r="B41" s="73"/>
      <c r="C41" s="36"/>
      <c r="D41" s="36"/>
      <c r="E41" s="74"/>
      <c r="F41" s="39"/>
      <c r="G41" s="46" t="s">
        <v>104</v>
      </c>
      <c r="H41" s="86">
        <v>22500000</v>
      </c>
      <c r="I41" s="76" t="s">
        <v>105</v>
      </c>
      <c r="J41" s="77">
        <v>1</v>
      </c>
      <c r="K41" s="86">
        <v>8000000</v>
      </c>
      <c r="L41" s="33" t="s">
        <v>106</v>
      </c>
      <c r="M41" s="15">
        <f>SUM(K33:K41)</f>
        <v>18271539</v>
      </c>
    </row>
    <row r="42" spans="1:13" s="87" customFormat="1" ht="39.6" customHeight="1" x14ac:dyDescent="0.3">
      <c r="A42" s="128"/>
      <c r="B42" s="128"/>
      <c r="C42" s="128"/>
      <c r="D42" s="128"/>
      <c r="E42" s="128"/>
      <c r="F42" s="128"/>
      <c r="G42" s="122">
        <f>SUM(K33:K41)</f>
        <v>18271539</v>
      </c>
      <c r="H42" s="123"/>
      <c r="I42" s="123"/>
      <c r="J42" s="123"/>
      <c r="K42" s="123"/>
      <c r="L42" s="124"/>
    </row>
    <row r="43" spans="1:13" s="87" customFormat="1" ht="19.8" customHeight="1" x14ac:dyDescent="0.3">
      <c r="A43" s="120" t="s">
        <v>107</v>
      </c>
      <c r="B43" s="121"/>
      <c r="C43" s="121"/>
      <c r="D43" s="121"/>
      <c r="E43" s="121"/>
      <c r="F43" s="121"/>
      <c r="G43" s="122">
        <f>G42+G29+G10</f>
        <v>85447167.483870968</v>
      </c>
      <c r="H43" s="123"/>
      <c r="I43" s="123"/>
      <c r="J43" s="123"/>
      <c r="K43" s="123"/>
      <c r="L43" s="124"/>
    </row>
  </sheetData>
  <autoFilter ref="A13:M43" xr:uid="{115A0F1F-CA90-4325-9E3A-844A5AA4156F}"/>
  <mergeCells count="7">
    <mergeCell ref="A43:F43"/>
    <mergeCell ref="G43:L43"/>
    <mergeCell ref="G10:L10"/>
    <mergeCell ref="A29:F29"/>
    <mergeCell ref="G29:L29"/>
    <mergeCell ref="A42:F42"/>
    <mergeCell ref="G42:L4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D18F-51C1-4800-BF0C-A707AF9E0310}">
  <dimension ref="A1:H34"/>
  <sheetViews>
    <sheetView tabSelected="1" topLeftCell="A26" zoomScale="70" zoomScaleNormal="70" workbookViewId="0">
      <selection activeCell="E28" sqref="E28:E29"/>
    </sheetView>
  </sheetViews>
  <sheetFormatPr defaultRowHeight="15" x14ac:dyDescent="0.3"/>
  <cols>
    <col min="1" max="2" width="18.75" style="87" customWidth="1"/>
    <col min="3" max="3" width="9" style="87" customWidth="1"/>
    <col min="4" max="4" width="15.875" style="87" customWidth="1"/>
    <col min="5" max="5" width="27.125" style="87" bestFit="1" customWidth="1"/>
    <col min="6" max="6" width="45.625" style="87" customWidth="1"/>
    <col min="7" max="7" width="9" style="87"/>
    <col min="8" max="8" width="24.875" style="87" bestFit="1" customWidth="1"/>
    <col min="9" max="16384" width="9" style="87"/>
  </cols>
  <sheetData>
    <row r="1" spans="1:8" s="7" customFormat="1" ht="25.05" customHeight="1" x14ac:dyDescent="0.3">
      <c r="A1" s="129" t="s">
        <v>0</v>
      </c>
      <c r="B1" s="130"/>
      <c r="C1" s="130"/>
      <c r="D1" s="130"/>
      <c r="E1" s="130"/>
      <c r="F1" s="131"/>
    </row>
    <row r="2" spans="1:8" s="7" customFormat="1" ht="18" customHeight="1" x14ac:dyDescent="0.3">
      <c r="A2" s="132" t="s">
        <v>110</v>
      </c>
      <c r="B2" s="133"/>
      <c r="C2" s="133"/>
      <c r="D2" s="133"/>
      <c r="E2" s="133"/>
      <c r="F2" s="134"/>
    </row>
    <row r="3" spans="1:8" s="7" customFormat="1" ht="18" customHeight="1" x14ac:dyDescent="0.3">
      <c r="A3" s="135" t="s">
        <v>112</v>
      </c>
      <c r="B3" s="136"/>
      <c r="C3" s="136"/>
      <c r="D3" s="136"/>
      <c r="E3" s="136"/>
      <c r="F3" s="137"/>
    </row>
    <row r="4" spans="1:8" s="9" customFormat="1" ht="19.8" x14ac:dyDescent="0.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</row>
    <row r="5" spans="1:8" s="9" customFormat="1" ht="32.4" x14ac:dyDescent="0.3">
      <c r="A5" s="91" t="s">
        <v>114</v>
      </c>
      <c r="B5" s="92"/>
      <c r="C5" s="91"/>
      <c r="D5" s="92"/>
      <c r="E5" s="93">
        <v>484811</v>
      </c>
      <c r="F5" s="94" t="s">
        <v>17</v>
      </c>
    </row>
    <row r="6" spans="1:8" s="9" customFormat="1" ht="99" x14ac:dyDescent="0.3">
      <c r="A6" s="96" t="s">
        <v>18</v>
      </c>
      <c r="B6" s="95"/>
      <c r="C6" s="96"/>
      <c r="D6" s="97"/>
      <c r="E6" s="95">
        <v>32506430</v>
      </c>
      <c r="F6" s="98" t="s">
        <v>19</v>
      </c>
    </row>
    <row r="7" spans="1:8" s="9" customFormat="1" ht="376.2" x14ac:dyDescent="0.3">
      <c r="A7" s="96" t="s">
        <v>18</v>
      </c>
      <c r="B7" s="95"/>
      <c r="C7" s="96"/>
      <c r="D7" s="97"/>
      <c r="E7" s="95">
        <v>15133300</v>
      </c>
      <c r="F7" s="98" t="s">
        <v>20</v>
      </c>
    </row>
    <row r="8" spans="1:8" s="9" customFormat="1" ht="19.8" x14ac:dyDescent="0.3">
      <c r="A8" s="139" t="s">
        <v>113</v>
      </c>
      <c r="B8" s="139"/>
      <c r="C8" s="139"/>
      <c r="D8" s="140"/>
      <c r="E8" s="122">
        <f>SUM(E5:E7)</f>
        <v>48124541</v>
      </c>
      <c r="F8" s="138"/>
    </row>
    <row r="9" spans="1:8" s="7" customFormat="1" ht="18" customHeight="1" x14ac:dyDescent="0.3">
      <c r="A9" s="5"/>
      <c r="B9" s="5"/>
      <c r="C9" s="5"/>
      <c r="D9" s="5"/>
      <c r="E9" s="5"/>
      <c r="F9" s="5"/>
    </row>
    <row r="10" spans="1:8" s="7" customFormat="1" ht="19.8" x14ac:dyDescent="0.3">
      <c r="A10" s="6" t="s">
        <v>2</v>
      </c>
      <c r="B10" s="6"/>
      <c r="C10" s="6"/>
      <c r="D10" s="6"/>
      <c r="E10" s="6"/>
      <c r="F10" s="6"/>
    </row>
    <row r="11" spans="1:8" s="9" customFormat="1" ht="19.8" x14ac:dyDescent="0.3">
      <c r="A11" s="8" t="s">
        <v>3</v>
      </c>
      <c r="B11" s="8" t="s">
        <v>4</v>
      </c>
      <c r="C11" s="8" t="s">
        <v>5</v>
      </c>
      <c r="D11" s="8" t="s">
        <v>6</v>
      </c>
      <c r="E11" s="8" t="s">
        <v>7</v>
      </c>
      <c r="F11" s="8" t="s">
        <v>8</v>
      </c>
    </row>
    <row r="12" spans="1:8" s="9" customFormat="1" ht="187.05" customHeight="1" x14ac:dyDescent="0.3">
      <c r="A12" s="101" t="s">
        <v>26</v>
      </c>
      <c r="B12" s="100">
        <v>47789</v>
      </c>
      <c r="C12" s="101" t="s">
        <v>115</v>
      </c>
      <c r="D12" s="102">
        <f>(22/31+5)*50</f>
        <v>285.48387096774195</v>
      </c>
      <c r="E12" s="100">
        <f>D12*B12</f>
        <v>13642988.709677421</v>
      </c>
      <c r="F12" s="103" t="s">
        <v>116</v>
      </c>
      <c r="H12" s="35"/>
    </row>
    <row r="13" spans="1:8" s="9" customFormat="1" ht="61.2" customHeight="1" x14ac:dyDescent="0.3">
      <c r="A13" s="101" t="s">
        <v>26</v>
      </c>
      <c r="B13" s="104">
        <v>349167</v>
      </c>
      <c r="C13" s="96" t="s">
        <v>40</v>
      </c>
      <c r="D13" s="105">
        <f>1/31+5</f>
        <v>5.032258064516129</v>
      </c>
      <c r="E13" s="106">
        <f>D13*B13</f>
        <v>1757098.4516129033</v>
      </c>
      <c r="F13" s="103" t="s">
        <v>117</v>
      </c>
    </row>
    <row r="14" spans="1:8" s="9" customFormat="1" ht="39.6" x14ac:dyDescent="0.3">
      <c r="A14" s="96" t="s">
        <v>37</v>
      </c>
      <c r="B14" s="107">
        <v>685714</v>
      </c>
      <c r="C14" s="96" t="s">
        <v>40</v>
      </c>
      <c r="D14" s="105">
        <f>(31-12)/31+4</f>
        <v>4.612903225806452</v>
      </c>
      <c r="E14" s="100">
        <f>D14*B14</f>
        <v>3163132.3225806453</v>
      </c>
      <c r="F14" s="103" t="s">
        <v>118</v>
      </c>
    </row>
    <row r="15" spans="1:8" s="9" customFormat="1" ht="59.4" x14ac:dyDescent="0.3">
      <c r="A15" s="96" t="s">
        <v>37</v>
      </c>
      <c r="B15" s="104">
        <v>56667</v>
      </c>
      <c r="C15" s="96" t="s">
        <v>40</v>
      </c>
      <c r="D15" s="108">
        <v>4</v>
      </c>
      <c r="E15" s="100">
        <f t="shared" ref="E15" si="0">D15*B15</f>
        <v>226668</v>
      </c>
      <c r="F15" s="109" t="s">
        <v>119</v>
      </c>
    </row>
    <row r="16" spans="1:8" s="9" customFormat="1" ht="138.6" x14ac:dyDescent="0.3">
      <c r="A16" s="8" t="s">
        <v>51</v>
      </c>
      <c r="B16" s="37">
        <v>140</v>
      </c>
      <c r="C16" s="88" t="s">
        <v>54</v>
      </c>
      <c r="D16" s="88"/>
      <c r="E16" s="65">
        <v>130000</v>
      </c>
      <c r="F16" s="50" t="s">
        <v>55</v>
      </c>
    </row>
    <row r="17" spans="1:6" s="9" customFormat="1" ht="19.8" x14ac:dyDescent="0.3">
      <c r="A17" s="88" t="s">
        <v>56</v>
      </c>
      <c r="B17" s="37"/>
      <c r="C17" s="88" t="s">
        <v>57</v>
      </c>
      <c r="D17" s="88" t="s">
        <v>57</v>
      </c>
      <c r="E17" s="38">
        <v>20000</v>
      </c>
      <c r="F17" s="39" t="s">
        <v>58</v>
      </c>
    </row>
    <row r="18" spans="1:6" s="9" customFormat="1" ht="39.6" x14ac:dyDescent="0.3">
      <c r="A18" s="88" t="s">
        <v>59</v>
      </c>
      <c r="B18" s="37"/>
      <c r="C18" s="88" t="s">
        <v>60</v>
      </c>
      <c r="D18" s="88">
        <v>1</v>
      </c>
      <c r="E18" s="38">
        <v>7000</v>
      </c>
      <c r="F18" s="39" t="s">
        <v>61</v>
      </c>
    </row>
    <row r="19" spans="1:6" s="9" customFormat="1" ht="79.2" x14ac:dyDescent="0.3">
      <c r="A19" s="36" t="s">
        <v>62</v>
      </c>
      <c r="B19" s="66"/>
      <c r="C19" s="36" t="s">
        <v>65</v>
      </c>
      <c r="D19" s="36">
        <v>1</v>
      </c>
      <c r="E19" s="67">
        <v>10000</v>
      </c>
      <c r="F19" s="68" t="s">
        <v>66</v>
      </c>
    </row>
    <row r="20" spans="1:6" s="9" customFormat="1" ht="118.8" x14ac:dyDescent="0.3">
      <c r="A20" s="36" t="s">
        <v>67</v>
      </c>
      <c r="B20" s="69">
        <v>2500</v>
      </c>
      <c r="C20" s="36" t="s">
        <v>52</v>
      </c>
      <c r="D20" s="36">
        <v>36</v>
      </c>
      <c r="E20" s="69">
        <f>B20*D20</f>
        <v>90000</v>
      </c>
      <c r="F20" s="70" t="s">
        <v>70</v>
      </c>
    </row>
    <row r="21" spans="1:6" s="9" customFormat="1" ht="138.6" x14ac:dyDescent="0.3">
      <c r="A21" s="8" t="s">
        <v>71</v>
      </c>
      <c r="B21" s="69">
        <v>1400</v>
      </c>
      <c r="C21" s="36"/>
      <c r="D21" s="36">
        <v>3</v>
      </c>
      <c r="E21" s="69">
        <f>D21*B21</f>
        <v>4200</v>
      </c>
      <c r="F21" s="70" t="s">
        <v>73</v>
      </c>
    </row>
    <row r="22" spans="1:6" s="9" customFormat="1" ht="19.8" x14ac:dyDescent="0.3">
      <c r="A22" s="139" t="s">
        <v>126</v>
      </c>
      <c r="B22" s="139"/>
      <c r="C22" s="139"/>
      <c r="D22" s="140"/>
      <c r="E22" s="122">
        <f>SUM(E12:E21)</f>
        <v>19051087.483870968</v>
      </c>
      <c r="F22" s="138"/>
    </row>
    <row r="23" spans="1:6" s="9" customFormat="1" ht="31.8" customHeight="1" x14ac:dyDescent="0.3">
      <c r="A23" s="110" t="s">
        <v>128</v>
      </c>
      <c r="B23" s="110"/>
      <c r="C23" s="110"/>
      <c r="D23" s="110"/>
      <c r="E23" s="110"/>
      <c r="F23" s="111"/>
    </row>
    <row r="24" spans="1:6" s="9" customFormat="1" ht="19.8" x14ac:dyDescent="0.3">
      <c r="A24" s="8" t="s">
        <v>3</v>
      </c>
      <c r="B24" s="8" t="s">
        <v>4</v>
      </c>
      <c r="C24" s="8" t="s">
        <v>5</v>
      </c>
      <c r="D24" s="8" t="s">
        <v>6</v>
      </c>
      <c r="E24" s="8" t="s">
        <v>7</v>
      </c>
      <c r="F24" s="8" t="s">
        <v>8</v>
      </c>
    </row>
    <row r="25" spans="1:6" s="9" customFormat="1" ht="59.4" x14ac:dyDescent="0.3">
      <c r="A25" s="103" t="s">
        <v>74</v>
      </c>
      <c r="B25" s="112">
        <v>2499000</v>
      </c>
      <c r="C25" s="113" t="s">
        <v>30</v>
      </c>
      <c r="D25" s="114">
        <v>1</v>
      </c>
      <c r="E25" s="115">
        <v>2499000</v>
      </c>
      <c r="F25" s="103" t="s">
        <v>120</v>
      </c>
    </row>
    <row r="26" spans="1:6" s="9" customFormat="1" ht="59.4" x14ac:dyDescent="0.3">
      <c r="A26" s="103" t="s">
        <v>79</v>
      </c>
      <c r="B26" s="112">
        <v>1071000</v>
      </c>
      <c r="C26" s="113" t="s">
        <v>30</v>
      </c>
      <c r="D26" s="114">
        <v>1</v>
      </c>
      <c r="E26" s="115">
        <v>1071000</v>
      </c>
      <c r="F26" s="103" t="s">
        <v>121</v>
      </c>
    </row>
    <row r="27" spans="1:6" s="9" customFormat="1" ht="39.6" x14ac:dyDescent="0.3">
      <c r="A27" s="36" t="s">
        <v>83</v>
      </c>
      <c r="B27" s="79">
        <v>1960000</v>
      </c>
      <c r="C27" s="36" t="s">
        <v>30</v>
      </c>
      <c r="D27" s="36">
        <v>1</v>
      </c>
      <c r="E27" s="79">
        <v>1960000</v>
      </c>
      <c r="F27" s="68" t="s">
        <v>85</v>
      </c>
    </row>
    <row r="28" spans="1:6" s="9" customFormat="1" ht="59.4" x14ac:dyDescent="0.3">
      <c r="A28" s="103" t="s">
        <v>86</v>
      </c>
      <c r="B28" s="116">
        <v>216000</v>
      </c>
      <c r="C28" s="113" t="s">
        <v>38</v>
      </c>
      <c r="D28" s="114" t="s">
        <v>38</v>
      </c>
      <c r="E28" s="116">
        <v>216000</v>
      </c>
      <c r="F28" s="103" t="s">
        <v>87</v>
      </c>
    </row>
    <row r="29" spans="1:6" s="9" customFormat="1" ht="59.4" x14ac:dyDescent="0.3">
      <c r="A29" s="103" t="s">
        <v>90</v>
      </c>
      <c r="B29" s="116">
        <v>504000</v>
      </c>
      <c r="C29" s="113" t="s">
        <v>38</v>
      </c>
      <c r="D29" s="114" t="s">
        <v>38</v>
      </c>
      <c r="E29" s="116">
        <v>504000</v>
      </c>
      <c r="F29" s="103" t="s">
        <v>87</v>
      </c>
    </row>
    <row r="30" spans="1:6" s="9" customFormat="1" ht="59.4" x14ac:dyDescent="0.3">
      <c r="A30" s="83" t="s">
        <v>92</v>
      </c>
      <c r="B30" s="83">
        <v>8500000</v>
      </c>
      <c r="C30" s="83" t="s">
        <v>95</v>
      </c>
      <c r="D30" s="83">
        <v>1</v>
      </c>
      <c r="E30" s="84">
        <v>3281539</v>
      </c>
      <c r="F30" s="68" t="s">
        <v>108</v>
      </c>
    </row>
    <row r="31" spans="1:6" s="9" customFormat="1" ht="39.6" x14ac:dyDescent="0.3">
      <c r="A31" s="99" t="s">
        <v>122</v>
      </c>
      <c r="B31" s="116">
        <v>740000</v>
      </c>
      <c r="C31" s="113" t="s">
        <v>93</v>
      </c>
      <c r="D31" s="114">
        <v>50</v>
      </c>
      <c r="E31" s="116">
        <v>740000</v>
      </c>
      <c r="F31" s="103" t="s">
        <v>97</v>
      </c>
    </row>
    <row r="32" spans="1:6" s="9" customFormat="1" ht="39.6" x14ac:dyDescent="0.3">
      <c r="A32" s="103" t="s">
        <v>123</v>
      </c>
      <c r="B32" s="117">
        <v>22500000</v>
      </c>
      <c r="C32" s="113" t="s">
        <v>124</v>
      </c>
      <c r="D32" s="114">
        <v>1</v>
      </c>
      <c r="E32" s="117">
        <v>8000000</v>
      </c>
      <c r="F32" s="103" t="s">
        <v>125</v>
      </c>
    </row>
    <row r="33" spans="1:6" ht="19.8" x14ac:dyDescent="0.3">
      <c r="A33" s="142" t="s">
        <v>129</v>
      </c>
      <c r="B33" s="142"/>
      <c r="C33" s="142"/>
      <c r="D33" s="142"/>
      <c r="E33" s="141">
        <f>SUM(E25:E32)</f>
        <v>18271539</v>
      </c>
      <c r="F33" s="141"/>
    </row>
    <row r="34" spans="1:6" ht="19.8" customHeight="1" x14ac:dyDescent="0.3">
      <c r="A34" s="142" t="s">
        <v>130</v>
      </c>
      <c r="B34" s="142"/>
      <c r="C34" s="142"/>
      <c r="D34" s="142"/>
      <c r="E34" s="142"/>
      <c r="F34" s="119">
        <f>E33+E22+E8</f>
        <v>85447167.483870968</v>
      </c>
    </row>
  </sheetData>
  <autoFilter ref="A11:F34" xr:uid="{115A0F1F-CA90-4325-9E3A-844A5AA4156F}"/>
  <mergeCells count="10">
    <mergeCell ref="E22:F22"/>
    <mergeCell ref="A22:D22"/>
    <mergeCell ref="E33:F33"/>
    <mergeCell ref="A33:D33"/>
    <mergeCell ref="A34:E34"/>
    <mergeCell ref="A1:F1"/>
    <mergeCell ref="A2:F2"/>
    <mergeCell ref="A3:F3"/>
    <mergeCell ref="E8:F8"/>
    <mergeCell ref="A8:D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範疇一</vt:lpstr>
      <vt:lpstr>範疇一變更後經費表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李佳頤</dc:creator>
  <cp:lastModifiedBy>承翰 HO CHENG-HAN</cp:lastModifiedBy>
  <dcterms:created xsi:type="dcterms:W3CDTF">2015-06-05T18:19:34Z</dcterms:created>
  <dcterms:modified xsi:type="dcterms:W3CDTF">2026-09-16T08:39:47Z</dcterms:modified>
</cp:coreProperties>
</file>